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cloudhomes/Desktop/Files/"/>
    </mc:Choice>
  </mc:AlternateContent>
  <xr:revisionPtr revIDLastSave="0" documentId="13_ncr:1_{DBE3F5C0-7805-E342-8A38-2D4FD25D165C}" xr6:coauthVersionLast="47" xr6:coauthVersionMax="47" xr10:uidLastSave="{00000000-0000-0000-0000-000000000000}"/>
  <bookViews>
    <workbookView xWindow="0" yWindow="600" windowWidth="28160" windowHeight="15580" activeTab="1" xr2:uid="{96FC9F93-BE1B-8248-ADA2-1551629D5AE4}"/>
  </bookViews>
  <sheets>
    <sheet name="Outflow" sheetId="1" r:id="rId1"/>
    <sheet name="In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D5" i="2"/>
  <c r="D4" i="2"/>
  <c r="AE5" i="2"/>
  <c r="AE7" i="2"/>
  <c r="AE8" i="2"/>
  <c r="AE12" i="2"/>
  <c r="AE13" i="2"/>
  <c r="AE14" i="2"/>
  <c r="AE15" i="2"/>
  <c r="AE16" i="2"/>
  <c r="AE17" i="2"/>
  <c r="AE18" i="2"/>
  <c r="AE19" i="2"/>
  <c r="AE4" i="2"/>
  <c r="AK20" i="1"/>
  <c r="AK19" i="1"/>
  <c r="AJ16" i="1"/>
  <c r="AJ17" i="1"/>
  <c r="AK18" i="1" s="1"/>
  <c r="G8" i="1"/>
  <c r="G9" i="1"/>
  <c r="C10" i="2" s="1"/>
  <c r="G10" i="1"/>
  <c r="G11" i="1"/>
  <c r="C12" i="2" s="1"/>
  <c r="G12" i="1"/>
  <c r="C13" i="2" s="1"/>
  <c r="G13" i="1"/>
  <c r="G14" i="1"/>
  <c r="G15" i="1"/>
  <c r="G16" i="1"/>
  <c r="G17" i="1"/>
  <c r="C18" i="2" s="1"/>
  <c r="G18" i="1"/>
  <c r="C19" i="2" s="1"/>
  <c r="C8" i="2"/>
  <c r="E23" i="1"/>
  <c r="E22" i="1"/>
  <c r="E25" i="1"/>
  <c r="D19" i="1"/>
  <c r="C15" i="2"/>
  <c r="C16" i="2"/>
  <c r="C9" i="2"/>
  <c r="E19" i="1"/>
  <c r="E18" i="1"/>
  <c r="E17" i="1"/>
  <c r="G5" i="1"/>
  <c r="F6" i="1"/>
  <c r="D5" i="1"/>
  <c r="G4" i="1"/>
  <c r="D6" i="1"/>
  <c r="D4" i="1"/>
  <c r="E10" i="1"/>
  <c r="E13" i="1"/>
  <c r="E9" i="1"/>
  <c r="C17" i="1"/>
  <c r="E8" i="1"/>
  <c r="C19" i="1"/>
  <c r="D9" i="1"/>
  <c r="D10" i="1"/>
  <c r="D11" i="1"/>
  <c r="D12" i="1"/>
  <c r="D13" i="1"/>
  <c r="D14" i="1"/>
  <c r="D15" i="1"/>
  <c r="D16" i="1"/>
  <c r="D17" i="1"/>
  <c r="D18" i="1"/>
  <c r="D8" i="1"/>
  <c r="AJ5" i="1"/>
  <c r="AJ6" i="1"/>
  <c r="AJ7" i="1"/>
  <c r="AJ8" i="1"/>
  <c r="AJ9" i="1"/>
  <c r="AJ10" i="1"/>
  <c r="AJ11" i="1"/>
  <c r="AJ12" i="1"/>
  <c r="AJ13" i="1"/>
  <c r="AJ14" i="1"/>
  <c r="AJ15" i="1"/>
  <c r="AJ18" i="1"/>
  <c r="AJ4" i="1"/>
  <c r="E20" i="2"/>
  <c r="O27" i="2"/>
  <c r="S27" i="2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J19" i="1"/>
  <c r="G7" i="1"/>
  <c r="D6" i="2" l="1"/>
  <c r="C17" i="2"/>
  <c r="C11" i="2"/>
  <c r="C14" i="2"/>
  <c r="W27" i="2"/>
  <c r="G27" i="2"/>
  <c r="AA27" i="2"/>
  <c r="K27" i="2"/>
  <c r="AE26" i="2"/>
  <c r="E27" i="2"/>
  <c r="T20" i="1"/>
  <c r="J20" i="1"/>
  <c r="AF20" i="1"/>
  <c r="X20" i="1"/>
  <c r="L20" i="1"/>
  <c r="AB20" i="1"/>
  <c r="P20" i="1"/>
  <c r="G6" i="1"/>
  <c r="G19" i="1"/>
  <c r="H20" i="2" l="1"/>
  <c r="H23" i="2" s="1"/>
  <c r="H29" i="2" s="1"/>
  <c r="E29" i="2"/>
  <c r="E32" i="2" s="1"/>
  <c r="C7" i="2"/>
  <c r="C20" i="2" s="1"/>
  <c r="G20" i="1"/>
  <c r="F19" i="1"/>
  <c r="I20" i="2" l="1"/>
  <c r="I23" i="2" s="1"/>
  <c r="I29" i="2" s="1"/>
  <c r="E24" i="1"/>
  <c r="J20" i="2" l="1"/>
  <c r="J23" i="2" s="1"/>
  <c r="J29" i="2" s="1"/>
  <c r="D15" i="2"/>
  <c r="D14" i="2"/>
  <c r="D13" i="2"/>
  <c r="D9" i="2"/>
  <c r="F9" i="2" s="1"/>
  <c r="D12" i="2"/>
  <c r="D17" i="2"/>
  <c r="D16" i="2"/>
  <c r="D18" i="2"/>
  <c r="D11" i="2"/>
  <c r="F11" i="2" s="1"/>
  <c r="D19" i="2"/>
  <c r="D10" i="2"/>
  <c r="F10" i="2" s="1"/>
  <c r="G9" i="2" l="1"/>
  <c r="AF22" i="2" s="1"/>
  <c r="F20" i="2"/>
  <c r="G11" i="2"/>
  <c r="AE11" i="2" s="1"/>
  <c r="G10" i="2"/>
  <c r="AE10" i="2" s="1"/>
  <c r="K20" i="2"/>
  <c r="K23" i="2" s="1"/>
  <c r="K29" i="2" s="1"/>
  <c r="G20" i="2" l="1"/>
  <c r="G23" i="2" s="1"/>
  <c r="G29" i="2" s="1"/>
  <c r="G30" i="2" s="1"/>
  <c r="F23" i="2"/>
  <c r="E21" i="2"/>
  <c r="AE9" i="2"/>
  <c r="AF20" i="2" s="1"/>
  <c r="L20" i="2"/>
  <c r="L23" i="2" s="1"/>
  <c r="L29" i="2" s="1"/>
  <c r="G24" i="2" l="1"/>
  <c r="G21" i="2"/>
  <c r="F29" i="2"/>
  <c r="E24" i="2"/>
  <c r="M20" i="2"/>
  <c r="M23" i="2" s="1"/>
  <c r="M29" i="2" s="1"/>
  <c r="E30" i="2" l="1"/>
  <c r="F32" i="2"/>
  <c r="N20" i="2"/>
  <c r="E33" i="2" l="1"/>
  <c r="G32" i="2"/>
  <c r="H32" i="2" s="1"/>
  <c r="I32" i="2" s="1"/>
  <c r="J32" i="2" s="1"/>
  <c r="O20" i="2"/>
  <c r="O23" i="2" s="1"/>
  <c r="O29" i="2" s="1"/>
  <c r="N23" i="2"/>
  <c r="K21" i="2"/>
  <c r="D20" i="2"/>
  <c r="AF21" i="2" s="1"/>
  <c r="G33" i="2" l="1"/>
  <c r="K32" i="2"/>
  <c r="L32" i="2" s="1"/>
  <c r="M32" i="2" s="1"/>
  <c r="P20" i="2"/>
  <c r="P23" i="2" s="1"/>
  <c r="P29" i="2" s="1"/>
  <c r="N29" i="2"/>
  <c r="K24" i="2"/>
  <c r="Q20" i="2" l="1"/>
  <c r="K30" i="2"/>
  <c r="N32" i="2"/>
  <c r="R20" i="2" l="1"/>
  <c r="R23" i="2" s="1"/>
  <c r="R29" i="2" s="1"/>
  <c r="K33" i="2"/>
  <c r="O32" i="2"/>
  <c r="P32" i="2" s="1"/>
  <c r="Q23" i="2"/>
  <c r="O21" i="2" l="1"/>
  <c r="Q29" i="2"/>
  <c r="O24" i="2"/>
  <c r="S20" i="2"/>
  <c r="S23" i="2" s="1"/>
  <c r="S29" i="2" s="1"/>
  <c r="T20" i="2" l="1"/>
  <c r="T23" i="2" s="1"/>
  <c r="T29" i="2" s="1"/>
  <c r="O30" i="2"/>
  <c r="Q32" i="2"/>
  <c r="R32" i="2" s="1"/>
  <c r="O33" i="2" s="1"/>
  <c r="S32" i="2" l="1"/>
  <c r="T32" i="2" s="1"/>
  <c r="U20" i="2"/>
  <c r="V20" i="2" l="1"/>
  <c r="V23" i="2" s="1"/>
  <c r="V29" i="2" s="1"/>
  <c r="U23" i="2"/>
  <c r="S21" i="2" l="1"/>
  <c r="W20" i="2"/>
  <c r="W23" i="2" s="1"/>
  <c r="W29" i="2" s="1"/>
  <c r="U29" i="2"/>
  <c r="S24" i="2"/>
  <c r="X20" i="2" l="1"/>
  <c r="X23" i="2" s="1"/>
  <c r="X29" i="2" s="1"/>
  <c r="S30" i="2"/>
  <c r="U32" i="2"/>
  <c r="V32" i="2" s="1"/>
  <c r="S33" i="2" s="1"/>
  <c r="Y20" i="2" l="1"/>
  <c r="W32" i="2"/>
  <c r="X32" i="2" s="1"/>
  <c r="Z20" i="2" l="1"/>
  <c r="Z23" i="2" s="1"/>
  <c r="Z29" i="2" s="1"/>
  <c r="Y23" i="2"/>
  <c r="W21" i="2" l="1"/>
  <c r="AA20" i="2"/>
  <c r="Y29" i="2"/>
  <c r="Y32" i="2" s="1"/>
  <c r="Z32" i="2" s="1"/>
  <c r="W24" i="2"/>
  <c r="W30" i="2" l="1"/>
  <c r="AB20" i="2"/>
  <c r="AB23" i="2" s="1"/>
  <c r="AB29" i="2" s="1"/>
  <c r="W33" i="2"/>
  <c r="AA23" i="2"/>
  <c r="AA29" i="2" l="1"/>
  <c r="AC20" i="2"/>
  <c r="AD20" i="2"/>
  <c r="AD23" i="2" l="1"/>
  <c r="AD29" i="2" s="1"/>
  <c r="AE20" i="2"/>
  <c r="AC23" i="2"/>
  <c r="AA21" i="2"/>
  <c r="AA32" i="2"/>
  <c r="AB32" i="2" s="1"/>
  <c r="AC29" i="2" l="1"/>
  <c r="AE23" i="2"/>
  <c r="AA24" i="2"/>
  <c r="AE29" i="2" l="1"/>
  <c r="AA30" i="2"/>
  <c r="AC32" i="2"/>
  <c r="AD32" i="2" s="1"/>
  <c r="AA33" i="2" s="1"/>
</calcChain>
</file>

<file path=xl/sharedStrings.xml><?xml version="1.0" encoding="utf-8"?>
<sst xmlns="http://schemas.openxmlformats.org/spreadsheetml/2006/main" count="137" uniqueCount="69">
  <si>
    <t>School</t>
  </si>
  <si>
    <t>Hospital</t>
  </si>
  <si>
    <t>Clubhouse Annex</t>
  </si>
  <si>
    <t>Commercial Complex</t>
  </si>
  <si>
    <t>Construction Duration</t>
  </si>
  <si>
    <t>Cr</t>
  </si>
  <si>
    <t>months</t>
  </si>
  <si>
    <t>Start Date</t>
  </si>
  <si>
    <t>Rate</t>
  </si>
  <si>
    <t>Rs.</t>
  </si>
  <si>
    <t>Land Acquisition (80 acres @ Rs 5 Lakh/acre)</t>
  </si>
  <si>
    <t>Sales-cum-Site Office plus Arch, Road and Bellmouth at entrance (budgeted Rs. 5 cr)</t>
  </si>
  <si>
    <t>Clubhouse with mini-golf</t>
  </si>
  <si>
    <t>#</t>
  </si>
  <si>
    <t>Sft</t>
  </si>
  <si>
    <t>Land Acquisition &amp; Dev. Cost/ Sft</t>
  </si>
  <si>
    <t>TOTAL PROJECT COST</t>
  </si>
  <si>
    <t>75 months</t>
  </si>
  <si>
    <t>BUA &amp; Avg. Cost of Const./ Sft</t>
  </si>
  <si>
    <t>Qtr 3</t>
  </si>
  <si>
    <t>Qtr 4</t>
  </si>
  <si>
    <t>Qtr 1</t>
  </si>
  <si>
    <t>Qtr 2</t>
  </si>
  <si>
    <t>FY 2026-27</t>
  </si>
  <si>
    <t>FY 2027-28</t>
  </si>
  <si>
    <t>FY 2028-29</t>
  </si>
  <si>
    <t>FY 2029-30</t>
  </si>
  <si>
    <t>FY 2030-31</t>
  </si>
  <si>
    <t>FY 2031-32</t>
  </si>
  <si>
    <t>FY 2032-33</t>
  </si>
  <si>
    <t>Oct 2026 to Dec 2032</t>
  </si>
  <si>
    <t>Infrastructure Development (@ Rs. 75 Lakh/acre)</t>
  </si>
  <si>
    <t>External Debt Drawdown</t>
  </si>
  <si>
    <t>sft</t>
  </si>
  <si>
    <t>Total BUA</t>
  </si>
  <si>
    <t>Rs./sft</t>
  </si>
  <si>
    <t>Outflow Stream</t>
  </si>
  <si>
    <t>Total Land Cost</t>
  </si>
  <si>
    <t>Land Cost/BUA</t>
  </si>
  <si>
    <t>Land Acquisition &amp; Dev Cost</t>
  </si>
  <si>
    <t>TOTAL  BUDGET &amp; TARGET SALE PRICE</t>
  </si>
  <si>
    <t>Net Surplus/ (deficit) before Interest/EMI (Period-wise)</t>
  </si>
  <si>
    <t>Net Surplus/ (deficit) after Interest/EMI (Period -wise)</t>
  </si>
  <si>
    <t>Target Sale Price</t>
  </si>
  <si>
    <r>
      <t xml:space="preserve">Net Surplus/ (deficit) after Interest/EMI </t>
    </r>
    <r>
      <rPr>
        <b/>
        <sz val="14"/>
        <color theme="9" tint="-0.249977111117893"/>
        <rFont val="Aptos Narrow (Body)"/>
      </rPr>
      <t>(CUMULATIVE)</t>
    </r>
    <r>
      <rPr>
        <b/>
        <sz val="14"/>
        <color theme="1"/>
        <rFont val="Aptos Narrow"/>
        <scheme val="minor"/>
      </rPr>
      <t xml:space="preserve"> </t>
    </r>
  </si>
  <si>
    <r>
      <t xml:space="preserve">Debt Interest and EMI repayments </t>
    </r>
    <r>
      <rPr>
        <b/>
        <sz val="12"/>
        <color theme="5"/>
        <rFont val="Aptos Narrow (Body)"/>
      </rPr>
      <t xml:space="preserve">@ 15% Interest </t>
    </r>
  </si>
  <si>
    <t>Budgeted Cost Price</t>
  </si>
  <si>
    <t>Land area allocation</t>
  </si>
  <si>
    <t>BUA</t>
  </si>
  <si>
    <t>Budgeted Construction Cost</t>
  </si>
  <si>
    <t>Acres</t>
  </si>
  <si>
    <r>
      <t xml:space="preserve">Balance Development - </t>
    </r>
    <r>
      <rPr>
        <b/>
        <sz val="12"/>
        <color theme="5"/>
        <rFont val="Aptos Narrow (Body)"/>
      </rPr>
      <t>900</t>
    </r>
    <r>
      <rPr>
        <sz val="12"/>
        <color theme="1"/>
        <rFont val="Aptos Narrow"/>
        <family val="2"/>
        <scheme val="minor"/>
      </rPr>
      <t>-unit Apartments</t>
    </r>
  </si>
  <si>
    <r>
      <t xml:space="preserve">Package 1 - </t>
    </r>
    <r>
      <rPr>
        <b/>
        <sz val="12"/>
        <color theme="5"/>
        <rFont val="Aptos Narrow (Body)"/>
      </rPr>
      <t>100</t>
    </r>
    <r>
      <rPr>
        <sz val="12"/>
        <color theme="1"/>
        <rFont val="Aptos Narrow"/>
        <family val="2"/>
        <scheme val="minor"/>
      </rPr>
      <t>-unit Apartment Block</t>
    </r>
  </si>
  <si>
    <r>
      <t xml:space="preserve">Package 1 - </t>
    </r>
    <r>
      <rPr>
        <b/>
        <sz val="12"/>
        <color theme="5"/>
        <rFont val="Aptos Narrow (Body)"/>
      </rPr>
      <t>32</t>
    </r>
    <r>
      <rPr>
        <sz val="12"/>
        <color theme="1"/>
        <rFont val="Aptos Narrow"/>
        <family val="2"/>
        <scheme val="minor"/>
      </rPr>
      <t>-unit Senior Living</t>
    </r>
  </si>
  <si>
    <r>
      <t>Senior Citizens Enclave (Balance) -</t>
    </r>
    <r>
      <rPr>
        <b/>
        <sz val="12"/>
        <color theme="5"/>
        <rFont val="Aptos Narrow (Body)"/>
      </rPr>
      <t xml:space="preserve"> 160</t>
    </r>
    <r>
      <rPr>
        <sz val="12"/>
        <color theme="1"/>
        <rFont val="Aptos Narrow"/>
        <family val="2"/>
        <scheme val="minor"/>
      </rPr>
      <t xml:space="preserve"> units</t>
    </r>
  </si>
  <si>
    <r>
      <t xml:space="preserve">Package 1 - </t>
    </r>
    <r>
      <rPr>
        <b/>
        <sz val="12"/>
        <color theme="5"/>
        <rFont val="Aptos Narrow (Body)"/>
      </rPr>
      <t>60</t>
    </r>
    <r>
      <rPr>
        <sz val="12"/>
        <color theme="1"/>
        <rFont val="Aptos Narrow"/>
        <family val="2"/>
        <scheme val="minor"/>
      </rPr>
      <t xml:space="preserve">-unit Villas </t>
    </r>
  </si>
  <si>
    <r>
      <t xml:space="preserve">Balance Development - </t>
    </r>
    <r>
      <rPr>
        <b/>
        <sz val="12"/>
        <color theme="5"/>
        <rFont val="Aptos Narrow (Body)"/>
      </rPr>
      <t>640</t>
    </r>
    <r>
      <rPr>
        <sz val="12"/>
        <color theme="1"/>
        <rFont val="Aptos Narrow"/>
        <family val="2"/>
        <scheme val="minor"/>
      </rPr>
      <t>-unit Villas</t>
    </r>
  </si>
  <si>
    <r>
      <t xml:space="preserve">iCloud Canvas of Dreams - Phasing and Cash </t>
    </r>
    <r>
      <rPr>
        <b/>
        <sz val="24"/>
        <color theme="5" tint="-0.249977111117893"/>
        <rFont val="Georgia"/>
        <family val="1"/>
      </rPr>
      <t xml:space="preserve">Outflow </t>
    </r>
    <r>
      <rPr>
        <b/>
        <sz val="24"/>
        <rFont val="Georgia"/>
        <family val="1"/>
      </rPr>
      <t>Plan</t>
    </r>
  </si>
  <si>
    <r>
      <t>iCloud Canvas of Dreams - Phasing and Cash</t>
    </r>
    <r>
      <rPr>
        <b/>
        <sz val="24"/>
        <color theme="5"/>
        <rFont val="Georgia"/>
        <family val="1"/>
      </rPr>
      <t xml:space="preserve"> Inflow</t>
    </r>
    <r>
      <rPr>
        <b/>
        <sz val="24"/>
        <color theme="5" tint="-0.249977111117893"/>
        <rFont val="Georgia"/>
        <family val="1"/>
      </rPr>
      <t xml:space="preserve"> </t>
    </r>
    <r>
      <rPr>
        <b/>
        <sz val="24"/>
        <rFont val="Georgia"/>
        <family val="1"/>
      </rPr>
      <t>Plan</t>
    </r>
  </si>
  <si>
    <t>Margin on  Land</t>
  </si>
  <si>
    <t>Margin on BUA</t>
  </si>
  <si>
    <t>Interest on Debt</t>
  </si>
  <si>
    <r>
      <t xml:space="preserve">Package 1 - </t>
    </r>
    <r>
      <rPr>
        <b/>
        <sz val="12"/>
        <color theme="5"/>
        <rFont val="Calibri"/>
        <family val="2"/>
      </rPr>
      <t>100</t>
    </r>
    <r>
      <rPr>
        <sz val="12"/>
        <color theme="1"/>
        <rFont val="Calibri"/>
        <family val="2"/>
      </rPr>
      <t>-unit Apartment Block</t>
    </r>
  </si>
  <si>
    <r>
      <t xml:space="preserve">Package 1 - </t>
    </r>
    <r>
      <rPr>
        <b/>
        <sz val="12"/>
        <color theme="5"/>
        <rFont val="Calibri"/>
        <family val="2"/>
      </rPr>
      <t>60</t>
    </r>
    <r>
      <rPr>
        <sz val="12"/>
        <color theme="1"/>
        <rFont val="Calibri"/>
        <family val="2"/>
      </rPr>
      <t xml:space="preserve">-unit Villas </t>
    </r>
  </si>
  <si>
    <r>
      <t xml:space="preserve">Package 1 - </t>
    </r>
    <r>
      <rPr>
        <b/>
        <sz val="12"/>
        <color theme="5"/>
        <rFont val="Calibri"/>
        <family val="2"/>
      </rPr>
      <t>32</t>
    </r>
    <r>
      <rPr>
        <sz val="12"/>
        <color theme="1"/>
        <rFont val="Calibri"/>
        <family val="2"/>
      </rPr>
      <t>-unit Senior Living</t>
    </r>
  </si>
  <si>
    <r>
      <t>Senior Citizens Enclave (Balance) -</t>
    </r>
    <r>
      <rPr>
        <b/>
        <sz val="12"/>
        <color theme="5"/>
        <rFont val="Calibri"/>
        <family val="2"/>
      </rPr>
      <t xml:space="preserve"> 160</t>
    </r>
    <r>
      <rPr>
        <sz val="12"/>
        <color theme="1"/>
        <rFont val="Calibri"/>
        <family val="2"/>
      </rPr>
      <t xml:space="preserve"> units</t>
    </r>
  </si>
  <si>
    <r>
      <t xml:space="preserve">Balance Development - </t>
    </r>
    <r>
      <rPr>
        <b/>
        <sz val="12"/>
        <color theme="5"/>
        <rFont val="Calibri"/>
        <family val="2"/>
      </rPr>
      <t>640</t>
    </r>
    <r>
      <rPr>
        <sz val="12"/>
        <color theme="1"/>
        <rFont val="Calibri"/>
        <family val="2"/>
      </rPr>
      <t>-unit Villas</t>
    </r>
  </si>
  <si>
    <r>
      <t xml:space="preserve">Balance Development - </t>
    </r>
    <r>
      <rPr>
        <b/>
        <sz val="12"/>
        <color theme="5"/>
        <rFont val="Calibri"/>
        <family val="2"/>
      </rPr>
      <t>900</t>
    </r>
    <r>
      <rPr>
        <sz val="12"/>
        <color theme="1"/>
        <rFont val="Calibri"/>
        <family val="2"/>
      </rPr>
      <t>-unit Apartments</t>
    </r>
  </si>
  <si>
    <t>Promoter Equity Infusion/ Internal Accruals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</si>
</sst>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i/>
      <sz val="12"/>
      <color theme="7" tint="-0.249977111117893"/>
      <name val="Aptos Narrow"/>
      <scheme val="minor"/>
    </font>
    <font>
      <b/>
      <sz val="24"/>
      <color theme="1"/>
      <name val="Georgia"/>
      <family val="1"/>
    </font>
    <font>
      <b/>
      <sz val="24"/>
      <color theme="5" tint="-0.249977111117893"/>
      <name val="Georgia"/>
      <family val="1"/>
    </font>
    <font>
      <b/>
      <sz val="24"/>
      <name val="Georgia"/>
      <family val="1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theme="9" tint="-0.249977111117893"/>
      <name val="Aptos Narrow (Body)"/>
    </font>
    <font>
      <b/>
      <sz val="12"/>
      <color theme="5"/>
      <name val="Aptos Narrow (Body)"/>
    </font>
    <font>
      <b/>
      <sz val="24"/>
      <color theme="5"/>
      <name val="Georgia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5"/>
      <name val="Calibri"/>
      <family val="2"/>
    </font>
    <font>
      <i/>
      <sz val="12"/>
      <color theme="7" tint="-0.249977111117893"/>
      <name val="Calibri"/>
      <family val="2"/>
    </font>
    <font>
      <b/>
      <sz val="12"/>
      <name val="Calibri"/>
      <family val="2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" fontId="0" fillId="6" borderId="11" xfId="0" applyNumberFormat="1" applyFill="1" applyBorder="1" applyAlignment="1">
      <alignment horizontal="center" vertical="center"/>
    </xf>
    <xf numFmtId="1" fontId="0" fillId="6" borderId="22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" fontId="3" fillId="6" borderId="19" xfId="0" applyNumberFormat="1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wrapText="1" indent="1"/>
    </xf>
    <xf numFmtId="1" fontId="0" fillId="6" borderId="24" xfId="0" applyNumberFormat="1" applyFill="1" applyBorder="1" applyAlignment="1">
      <alignment horizontal="center" vertical="center"/>
    </xf>
    <xf numFmtId="1" fontId="0" fillId="6" borderId="27" xfId="0" applyNumberFormat="1" applyFill="1" applyBorder="1" applyAlignment="1">
      <alignment horizontal="center" vertical="center"/>
    </xf>
    <xf numFmtId="1" fontId="0" fillId="5" borderId="24" xfId="0" applyNumberForma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 indent="1"/>
    </xf>
    <xf numFmtId="0" fontId="0" fillId="6" borderId="2" xfId="0" applyFill="1" applyBorder="1" applyAlignment="1">
      <alignment horizontal="left" vertical="center" indent="1"/>
    </xf>
    <xf numFmtId="1" fontId="3" fillId="6" borderId="2" xfId="0" applyNumberFormat="1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6" borderId="2" xfId="0" applyNumberFormat="1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center" vertical="center"/>
    </xf>
    <xf numFmtId="1" fontId="10" fillId="6" borderId="3" xfId="0" applyNumberFormat="1" applyFont="1" applyFill="1" applyBorder="1" applyAlignment="1">
      <alignment horizontal="center" vertical="center"/>
    </xf>
    <xf numFmtId="1" fontId="10" fillId="6" borderId="4" xfId="0" applyNumberFormat="1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1" fontId="11" fillId="6" borderId="4" xfId="0" applyNumberFormat="1" applyFont="1" applyFill="1" applyBorder="1" applyAlignment="1">
      <alignment horizontal="center" vertical="center"/>
    </xf>
    <xf numFmtId="1" fontId="11" fillId="6" borderId="3" xfId="0" applyNumberFormat="1" applyFont="1" applyFill="1" applyBorder="1" applyAlignment="1">
      <alignment horizontal="center" vertical="center"/>
    </xf>
    <xf numFmtId="1" fontId="11" fillId="6" borderId="4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" fontId="0" fillId="5" borderId="2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164" fontId="0" fillId="5" borderId="2" xfId="1" applyNumberFormat="1" applyFont="1" applyFill="1" applyBorder="1" applyAlignment="1">
      <alignment horizontal="center" vertical="center"/>
    </xf>
    <xf numFmtId="164" fontId="0" fillId="5" borderId="3" xfId="1" applyNumberFormat="1" applyFont="1" applyFill="1" applyBorder="1" applyAlignment="1">
      <alignment horizontal="center" vertical="center"/>
    </xf>
    <xf numFmtId="164" fontId="0" fillId="5" borderId="4" xfId="1" applyNumberFormat="1" applyFont="1" applyFill="1" applyBorder="1" applyAlignment="1">
      <alignment horizontal="center" vertical="center"/>
    </xf>
    <xf numFmtId="1" fontId="11" fillId="5" borderId="42" xfId="0" applyNumberFormat="1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 vertical="center"/>
    </xf>
    <xf numFmtId="1" fontId="11" fillId="5" borderId="19" xfId="0" applyNumberFormat="1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1" fontId="11" fillId="5" borderId="4" xfId="0" applyNumberFormat="1" applyFont="1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5" borderId="11" xfId="0" applyFill="1" applyBorder="1"/>
    <xf numFmtId="0" fontId="0" fillId="5" borderId="1" xfId="0" applyFill="1" applyBorder="1"/>
    <xf numFmtId="1" fontId="0" fillId="5" borderId="31" xfId="0" applyNumberFormat="1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0" fillId="5" borderId="10" xfId="0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wrapText="1"/>
    </xf>
    <xf numFmtId="164" fontId="0" fillId="3" borderId="1" xfId="1" applyNumberFormat="1" applyFont="1" applyFill="1" applyBorder="1" applyAlignment="1">
      <alignment horizontal="right" vertical="center" wrapText="1" indent="1"/>
    </xf>
    <xf numFmtId="164" fontId="0" fillId="3" borderId="1" xfId="1" applyNumberFormat="1" applyFont="1" applyFill="1" applyBorder="1" applyAlignment="1">
      <alignment horizont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164" fontId="0" fillId="6" borderId="22" xfId="1" applyNumberFormat="1" applyFon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164" fontId="6" fillId="0" borderId="29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1" xfId="0" applyFill="1" applyBorder="1" applyAlignment="1">
      <alignment horizontal="left" vertical="center" wrapText="1" indent="1"/>
    </xf>
    <xf numFmtId="164" fontId="0" fillId="3" borderId="31" xfId="1" applyNumberFormat="1" applyFont="1" applyFill="1" applyBorder="1" applyAlignment="1">
      <alignment horizontal="righ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1" fontId="0" fillId="2" borderId="3" xfId="0" applyNumberForma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0" fillId="5" borderId="27" xfId="0" applyNumberFormat="1" applyFill="1" applyBorder="1" applyAlignment="1">
      <alignment horizontal="center" vertical="center"/>
    </xf>
    <xf numFmtId="1" fontId="0" fillId="6" borderId="31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 wrapText="1" indent="1"/>
    </xf>
    <xf numFmtId="1" fontId="0" fillId="2" borderId="16" xfId="0" applyNumberFormat="1" applyFill="1" applyBorder="1" applyAlignment="1">
      <alignment horizontal="center" vertical="center" wrapText="1"/>
    </xf>
    <xf numFmtId="1" fontId="0" fillId="5" borderId="14" xfId="0" applyNumberFormat="1" applyFill="1" applyBorder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1" fontId="0" fillId="6" borderId="14" xfId="0" applyNumberFormat="1" applyFill="1" applyBorder="1" applyAlignment="1">
      <alignment horizontal="center" vertical="center"/>
    </xf>
    <xf numFmtId="1" fontId="0" fillId="6" borderId="16" xfId="0" applyNumberForma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55" xfId="0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right" vertical="center" wrapText="1" indent="1"/>
    </xf>
    <xf numFmtId="1" fontId="0" fillId="2" borderId="12" xfId="0" applyNumberFormat="1" applyFill="1" applyBorder="1" applyAlignment="1">
      <alignment horizontal="right" vertical="center" wrapText="1" indent="1"/>
    </xf>
    <xf numFmtId="164" fontId="0" fillId="3" borderId="39" xfId="1" applyNumberFormat="1" applyFont="1" applyFill="1" applyBorder="1" applyAlignment="1">
      <alignment horizontal="right" vertical="center" indent="1"/>
    </xf>
    <xf numFmtId="164" fontId="0" fillId="3" borderId="12" xfId="1" applyNumberFormat="1" applyFont="1" applyFill="1" applyBorder="1" applyAlignment="1">
      <alignment horizontal="right" vertical="center" indent="1"/>
    </xf>
    <xf numFmtId="1" fontId="3" fillId="2" borderId="55" xfId="0" applyNumberFormat="1" applyFont="1" applyFill="1" applyBorder="1" applyAlignment="1">
      <alignment horizontal="right" vertical="center" wrapText="1" indent="1"/>
    </xf>
    <xf numFmtId="0" fontId="17" fillId="6" borderId="2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164" fontId="18" fillId="0" borderId="0" xfId="1" applyNumberFormat="1" applyFont="1" applyAlignme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 wrapText="1" indent="1"/>
    </xf>
    <xf numFmtId="0" fontId="18" fillId="2" borderId="3" xfId="0" applyFont="1" applyFill="1" applyBorder="1" applyAlignment="1">
      <alignment horizontal="center" wrapText="1"/>
    </xf>
    <xf numFmtId="164" fontId="18" fillId="2" borderId="3" xfId="1" applyNumberFormat="1" applyFont="1" applyFill="1" applyBorder="1" applyAlignment="1">
      <alignment horizontal="center" vertical="center"/>
    </xf>
    <xf numFmtId="164" fontId="18" fillId="2" borderId="3" xfId="1" applyNumberFormat="1" applyFont="1" applyFill="1" applyBorder="1" applyAlignment="1">
      <alignment horizontal="right" vertical="center" indent="1"/>
    </xf>
    <xf numFmtId="17" fontId="18" fillId="5" borderId="19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64" fontId="18" fillId="6" borderId="19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left" vertical="center" wrapText="1" indent="1"/>
    </xf>
    <xf numFmtId="0" fontId="18" fillId="2" borderId="6" xfId="0" applyFont="1" applyFill="1" applyBorder="1" applyAlignment="1">
      <alignment horizontal="center" vertical="center" wrapText="1"/>
    </xf>
    <xf numFmtId="164" fontId="18" fillId="2" borderId="6" xfId="1" applyNumberFormat="1" applyFont="1" applyFill="1" applyBorder="1" applyAlignment="1">
      <alignment horizontal="center" vertical="center"/>
    </xf>
    <xf numFmtId="164" fontId="18" fillId="2" borderId="6" xfId="1" applyNumberFormat="1" applyFont="1" applyFill="1" applyBorder="1" applyAlignment="1">
      <alignment horizontal="right" vertical="center" indent="1"/>
    </xf>
    <xf numFmtId="1" fontId="18" fillId="6" borderId="11" xfId="0" applyNumberFormat="1" applyFont="1" applyFill="1" applyBorder="1" applyAlignment="1">
      <alignment horizontal="center" vertical="center"/>
    </xf>
    <xf numFmtId="1" fontId="18" fillId="6" borderId="22" xfId="0" applyNumberFormat="1" applyFont="1" applyFill="1" applyBorder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" fontId="18" fillId="5" borderId="22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164" fontId="17" fillId="8" borderId="17" xfId="1" applyNumberFormat="1" applyFont="1" applyFill="1" applyBorder="1" applyAlignment="1">
      <alignment horizontal="center" vertical="center"/>
    </xf>
    <xf numFmtId="164" fontId="17" fillId="8" borderId="17" xfId="0" applyNumberFormat="1" applyFont="1" applyFill="1" applyBorder="1" applyAlignment="1">
      <alignment horizontal="right" vertical="center" indent="1"/>
    </xf>
    <xf numFmtId="164" fontId="17" fillId="8" borderId="17" xfId="0" applyNumberFormat="1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17" fontId="18" fillId="4" borderId="21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 wrapText="1" inden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164" fontId="18" fillId="3" borderId="3" xfId="1" applyNumberFormat="1" applyFont="1" applyFill="1" applyBorder="1" applyAlignment="1">
      <alignment horizontal="center" vertical="center"/>
    </xf>
    <xf numFmtId="164" fontId="18" fillId="3" borderId="3" xfId="0" applyNumberFormat="1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indent="1"/>
    </xf>
    <xf numFmtId="0" fontId="18" fillId="3" borderId="1" xfId="0" applyFont="1" applyFill="1" applyBorder="1" applyAlignment="1">
      <alignment horizontal="center" vertical="center"/>
    </xf>
    <xf numFmtId="164" fontId="18" fillId="3" borderId="1" xfId="1" applyNumberFormat="1" applyFont="1" applyFill="1" applyBorder="1" applyAlignment="1">
      <alignment horizontal="left" vertical="center"/>
    </xf>
    <xf numFmtId="164" fontId="18" fillId="3" borderId="1" xfId="1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 vertical="center"/>
    </xf>
    <xf numFmtId="164" fontId="18" fillId="3" borderId="1" xfId="0" applyNumberFormat="1" applyFont="1" applyFill="1" applyBorder="1" applyAlignment="1">
      <alignment horizontal="center" vertical="center"/>
    </xf>
    <xf numFmtId="17" fontId="18" fillId="5" borderId="22" xfId="0" applyNumberFormat="1" applyFont="1" applyFill="1" applyBorder="1" applyAlignment="1">
      <alignment horizontal="center" vertical="center"/>
    </xf>
    <xf numFmtId="0" fontId="18" fillId="5" borderId="11" xfId="0" applyFont="1" applyFill="1" applyBorder="1"/>
    <xf numFmtId="0" fontId="18" fillId="5" borderId="1" xfId="0" applyFont="1" applyFill="1" applyBorder="1"/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left" vertical="center" indent="1"/>
    </xf>
    <xf numFmtId="0" fontId="18" fillId="3" borderId="9" xfId="0" applyFont="1" applyFill="1" applyBorder="1" applyAlignment="1">
      <alignment horizontal="center" vertical="center"/>
    </xf>
    <xf numFmtId="164" fontId="18" fillId="3" borderId="9" xfId="1" applyNumberFormat="1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right" vertical="center"/>
    </xf>
    <xf numFmtId="164" fontId="18" fillId="3" borderId="9" xfId="0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17" fontId="18" fillId="5" borderId="23" xfId="0" applyNumberFormat="1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164" fontId="17" fillId="9" borderId="3" xfId="0" applyNumberFormat="1" applyFont="1" applyFill="1" applyBorder="1" applyAlignment="1">
      <alignment horizontal="center" vertical="center" wrapText="1"/>
    </xf>
    <xf numFmtId="164" fontId="17" fillId="9" borderId="3" xfId="1" applyNumberFormat="1" applyFont="1" applyFill="1" applyBorder="1" applyAlignment="1">
      <alignment horizontal="center" vertical="center"/>
    </xf>
    <xf numFmtId="164" fontId="17" fillId="9" borderId="3" xfId="0" applyNumberFormat="1" applyFont="1" applyFill="1" applyBorder="1" applyAlignment="1">
      <alignment horizontal="right" vertical="center" indent="1"/>
    </xf>
    <xf numFmtId="0" fontId="17" fillId="6" borderId="24" xfId="0" applyFont="1" applyFill="1" applyBorder="1" applyAlignment="1">
      <alignment horizontal="center" vertical="center"/>
    </xf>
    <xf numFmtId="1" fontId="17" fillId="6" borderId="27" xfId="0" applyNumberFormat="1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164" fontId="21" fillId="0" borderId="0" xfId="1" applyNumberFormat="1" applyFont="1" applyAlignment="1">
      <alignment vertical="center"/>
    </xf>
    <xf numFmtId="164" fontId="22" fillId="7" borderId="6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5" borderId="1" xfId="0" applyFont="1" applyFill="1" applyBorder="1" applyAlignment="1">
      <alignment horizontal="left" vertical="center"/>
    </xf>
    <xf numFmtId="164" fontId="18" fillId="5" borderId="1" xfId="1" applyNumberFormat="1" applyFont="1" applyFill="1" applyBorder="1" applyAlignment="1">
      <alignment horizontal="center" vertical="center"/>
    </xf>
    <xf numFmtId="43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18" fillId="5" borderId="1" xfId="0" applyFont="1" applyFill="1" applyBorder="1" applyAlignment="1">
      <alignment vertical="center"/>
    </xf>
    <xf numFmtId="43" fontId="18" fillId="5" borderId="1" xfId="1" applyFont="1" applyFill="1" applyBorder="1" applyAlignment="1">
      <alignment horizontal="center" vertical="center"/>
    </xf>
    <xf numFmtId="9" fontId="18" fillId="1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4" borderId="3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 wrapText="1"/>
    </xf>
    <xf numFmtId="1" fontId="18" fillId="6" borderId="32" xfId="0" applyNumberFormat="1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/>
    </xf>
    <xf numFmtId="164" fontId="18" fillId="2" borderId="3" xfId="0" applyNumberFormat="1" applyFont="1" applyFill="1" applyBorder="1" applyAlignment="1">
      <alignment horizontal="center" vertical="center"/>
    </xf>
    <xf numFmtId="17" fontId="18" fillId="5" borderId="4" xfId="0" applyNumberFormat="1" applyFont="1" applyFill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/>
    </xf>
    <xf numFmtId="17" fontId="18" fillId="5" borderId="7" xfId="0" applyNumberFormat="1" applyFont="1" applyFill="1" applyBorder="1" applyAlignment="1">
      <alignment horizontal="center" vertical="center"/>
    </xf>
    <xf numFmtId="164" fontId="3" fillId="7" borderId="40" xfId="1" applyNumberFormat="1" applyFont="1" applyFill="1" applyBorder="1" applyAlignment="1">
      <alignment vertical="center"/>
    </xf>
    <xf numFmtId="164" fontId="3" fillId="7" borderId="41" xfId="1" applyNumberFormat="1" applyFont="1" applyFill="1" applyBorder="1" applyAlignment="1">
      <alignment vertical="center"/>
    </xf>
    <xf numFmtId="164" fontId="3" fillId="7" borderId="15" xfId="1" applyNumberFormat="1" applyFont="1" applyFill="1" applyBorder="1" applyAlignment="1">
      <alignment vertical="center" wrapText="1"/>
    </xf>
    <xf numFmtId="164" fontId="3" fillId="7" borderId="16" xfId="1" applyNumberFormat="1" applyFont="1" applyFill="1" applyBorder="1" applyAlignment="1">
      <alignment vertical="center" wrapText="1"/>
    </xf>
    <xf numFmtId="1" fontId="0" fillId="6" borderId="11" xfId="0" applyNumberFormat="1" applyFill="1" applyBorder="1" applyAlignment="1">
      <alignment horizontal="right" vertical="center" indent="1"/>
    </xf>
    <xf numFmtId="1" fontId="0" fillId="6" borderId="12" xfId="0" applyNumberFormat="1" applyFill="1" applyBorder="1" applyAlignment="1">
      <alignment horizontal="center" vertical="center"/>
    </xf>
    <xf numFmtId="1" fontId="0" fillId="6" borderId="14" xfId="0" applyNumberFormat="1" applyFill="1" applyBorder="1" applyAlignment="1">
      <alignment horizontal="right" vertical="center" indent="1"/>
    </xf>
    <xf numFmtId="1" fontId="0" fillId="6" borderId="55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5" borderId="55" xfId="0" applyNumberFormat="1" applyFill="1" applyBorder="1" applyAlignment="1">
      <alignment horizontal="center" vertical="center"/>
    </xf>
    <xf numFmtId="164" fontId="12" fillId="2" borderId="50" xfId="1" applyNumberFormat="1" applyFont="1" applyFill="1" applyBorder="1" applyAlignment="1">
      <alignment horizontal="center" vertical="center"/>
    </xf>
    <xf numFmtId="164" fontId="12" fillId="2" borderId="51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/>
    </xf>
    <xf numFmtId="1" fontId="10" fillId="6" borderId="46" xfId="0" applyNumberFormat="1" applyFont="1" applyFill="1" applyBorder="1" applyAlignment="1">
      <alignment horizontal="center" vertical="center"/>
    </xf>
    <xf numFmtId="1" fontId="10" fillId="6" borderId="47" xfId="0" applyNumberFormat="1" applyFont="1" applyFill="1" applyBorder="1" applyAlignment="1">
      <alignment horizontal="center" vertical="center"/>
    </xf>
    <xf numFmtId="1" fontId="10" fillId="6" borderId="3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164" fontId="3" fillId="5" borderId="5" xfId="1" applyNumberFormat="1" applyFont="1" applyFill="1" applyBorder="1" applyAlignment="1">
      <alignment horizontal="center" vertical="center"/>
    </xf>
    <xf numFmtId="164" fontId="3" fillId="5" borderId="6" xfId="1" applyNumberFormat="1" applyFont="1" applyFill="1" applyBorder="1" applyAlignment="1">
      <alignment horizontal="center" vertical="center"/>
    </xf>
    <xf numFmtId="164" fontId="3" fillId="5" borderId="7" xfId="1" applyNumberFormat="1" applyFont="1" applyFill="1" applyBorder="1" applyAlignment="1">
      <alignment horizontal="center" vertical="center"/>
    </xf>
    <xf numFmtId="164" fontId="3" fillId="6" borderId="46" xfId="1" applyNumberFormat="1" applyFont="1" applyFill="1" applyBorder="1" applyAlignment="1">
      <alignment horizontal="center" vertical="center"/>
    </xf>
    <xf numFmtId="164" fontId="3" fillId="6" borderId="47" xfId="1" applyNumberFormat="1" applyFont="1" applyFill="1" applyBorder="1" applyAlignment="1">
      <alignment horizontal="center" vertical="center"/>
    </xf>
    <xf numFmtId="164" fontId="3" fillId="6" borderId="38" xfId="1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23" xfId="0" applyFont="1" applyFill="1" applyBorder="1" applyAlignment="1">
      <alignment horizontal="center" wrapText="1"/>
    </xf>
    <xf numFmtId="0" fontId="3" fillId="6" borderId="23" xfId="0" applyFont="1" applyFill="1" applyBorder="1" applyAlignment="1">
      <alignment horizontal="center" wrapText="1"/>
    </xf>
    <xf numFmtId="164" fontId="3" fillId="6" borderId="5" xfId="1" applyNumberFormat="1" applyFont="1" applyFill="1" applyBorder="1" applyAlignment="1">
      <alignment horizontal="center" vertical="center"/>
    </xf>
    <xf numFmtId="164" fontId="3" fillId="6" borderId="20" xfId="1" applyNumberFormat="1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0" fontId="9" fillId="7" borderId="37" xfId="0" applyFont="1" applyFill="1" applyBorder="1" applyAlignment="1">
      <alignment horizontal="center" vertical="center"/>
    </xf>
    <xf numFmtId="164" fontId="3" fillId="5" borderId="46" xfId="1" applyNumberFormat="1" applyFont="1" applyFill="1" applyBorder="1" applyAlignment="1">
      <alignment horizontal="center" vertical="center"/>
    </xf>
    <xf numFmtId="164" fontId="3" fillId="5" borderId="47" xfId="1" applyNumberFormat="1" applyFont="1" applyFill="1" applyBorder="1" applyAlignment="1">
      <alignment horizontal="center" vertical="center"/>
    </xf>
    <xf numFmtId="164" fontId="3" fillId="5" borderId="38" xfId="1" applyNumberFormat="1" applyFon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11" fillId="6" borderId="46" xfId="0" applyNumberFormat="1" applyFont="1" applyFill="1" applyBorder="1" applyAlignment="1">
      <alignment horizontal="center" vertical="center"/>
    </xf>
    <xf numFmtId="1" fontId="11" fillId="6" borderId="47" xfId="0" applyNumberFormat="1" applyFont="1" applyFill="1" applyBorder="1" applyAlignment="1">
      <alignment horizontal="center" vertical="center"/>
    </xf>
    <xf numFmtId="1" fontId="11" fillId="6" borderId="38" xfId="0" applyNumberFormat="1" applyFont="1" applyFill="1" applyBorder="1" applyAlignment="1">
      <alignment horizontal="center" vertical="center"/>
    </xf>
    <xf numFmtId="1" fontId="11" fillId="5" borderId="46" xfId="0" applyNumberFormat="1" applyFont="1" applyFill="1" applyBorder="1" applyAlignment="1">
      <alignment horizontal="center" vertical="center"/>
    </xf>
    <xf numFmtId="1" fontId="11" fillId="5" borderId="47" xfId="0" applyNumberFormat="1" applyFont="1" applyFill="1" applyBorder="1" applyAlignment="1">
      <alignment horizontal="center" vertical="center"/>
    </xf>
    <xf numFmtId="1" fontId="11" fillId="5" borderId="38" xfId="0" applyNumberFormat="1" applyFont="1" applyFill="1" applyBorder="1" applyAlignment="1">
      <alignment horizontal="center" vertical="center"/>
    </xf>
    <xf numFmtId="164" fontId="13" fillId="2" borderId="47" xfId="1" applyNumberFormat="1" applyFont="1" applyFill="1" applyBorder="1" applyAlignment="1">
      <alignment horizontal="left" vertical="center"/>
    </xf>
    <xf numFmtId="164" fontId="13" fillId="2" borderId="38" xfId="1" applyNumberFormat="1" applyFont="1" applyFill="1" applyBorder="1" applyAlignment="1">
      <alignment horizontal="left" vertical="center"/>
    </xf>
    <xf numFmtId="0" fontId="10" fillId="0" borderId="34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0" fillId="0" borderId="34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1" fontId="11" fillId="6" borderId="5" xfId="0" applyNumberFormat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1" fontId="11" fillId="5" borderId="43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right" vertical="center"/>
    </xf>
    <xf numFmtId="0" fontId="22" fillId="7" borderId="6" xfId="0" applyFont="1" applyFill="1" applyBorder="1" applyAlignment="1">
      <alignment horizontal="right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17" fontId="17" fillId="4" borderId="19" xfId="0" quotePrefix="1" applyNumberFormat="1" applyFont="1" applyFill="1" applyBorder="1" applyAlignment="1">
      <alignment horizontal="center" vertical="center" wrapText="1"/>
    </xf>
    <xf numFmtId="17" fontId="17" fillId="4" borderId="20" xfId="0" quotePrefix="1" applyNumberFormat="1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wrapText="1"/>
    </xf>
    <xf numFmtId="0" fontId="17" fillId="6" borderId="10" xfId="0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wrapText="1"/>
    </xf>
    <xf numFmtId="0" fontId="17" fillId="5" borderId="9" xfId="0" applyFont="1" applyFill="1" applyBorder="1" applyAlignment="1">
      <alignment horizontal="center" wrapText="1"/>
    </xf>
    <xf numFmtId="0" fontId="17" fillId="5" borderId="23" xfId="0" applyFont="1" applyFill="1" applyBorder="1" applyAlignment="1">
      <alignment horizontal="center" wrapText="1"/>
    </xf>
    <xf numFmtId="0" fontId="17" fillId="6" borderId="9" xfId="0" applyFont="1" applyFill="1" applyBorder="1" applyAlignment="1">
      <alignment horizontal="center" wrapText="1"/>
    </xf>
    <xf numFmtId="0" fontId="17" fillId="6" borderId="23" xfId="0" applyFont="1" applyFill="1" applyBorder="1" applyAlignment="1">
      <alignment horizontal="center" wrapText="1"/>
    </xf>
    <xf numFmtId="0" fontId="18" fillId="6" borderId="11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54" xfId="0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8" borderId="36" xfId="0" applyFont="1" applyFill="1" applyBorder="1" applyAlignment="1">
      <alignment horizontal="center" vertical="center" wrapText="1"/>
    </xf>
    <xf numFmtId="0" fontId="17" fillId="8" borderId="37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right" vertical="center" wrapText="1"/>
    </xf>
    <xf numFmtId="0" fontId="12" fillId="2" borderId="44" xfId="0" applyFont="1" applyFill="1" applyBorder="1" applyAlignment="1">
      <alignment horizontal="right" vertical="center" wrapText="1"/>
    </xf>
    <xf numFmtId="0" fontId="12" fillId="2" borderId="36" xfId="0" applyFont="1" applyFill="1" applyBorder="1" applyAlignment="1">
      <alignment horizontal="right" vertical="center" wrapText="1"/>
    </xf>
    <xf numFmtId="0" fontId="12" fillId="2" borderId="45" xfId="0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2">
    <dxf>
      <font>
        <color theme="9" tint="0.7999816888943144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83B4-7BA5-614A-AE74-18CBC05266EB}">
  <dimension ref="A1:AK36"/>
  <sheetViews>
    <sheetView zoomScale="75" zoomScaleNormal="98" workbookViewId="0">
      <selection activeCell="J20" sqref="J20:AI20"/>
    </sheetView>
  </sheetViews>
  <sheetFormatPr baseColWidth="10" defaultRowHeight="16"/>
  <cols>
    <col min="1" max="1" width="6.83203125" style="2" customWidth="1"/>
    <col min="2" max="2" width="43.1640625" customWidth="1"/>
    <col min="3" max="3" width="15.33203125" style="1" customWidth="1"/>
    <col min="4" max="4" width="13.33203125" customWidth="1"/>
    <col min="5" max="5" width="12.5" style="2" customWidth="1"/>
    <col min="6" max="6" width="11" style="1" customWidth="1"/>
    <col min="7" max="7" width="15.1640625" style="1" customWidth="1"/>
    <col min="8" max="8" width="12.33203125" style="2" customWidth="1"/>
    <col min="9" max="9" width="15" style="2" bestFit="1" customWidth="1"/>
    <col min="10" max="10" width="5.1640625" customWidth="1"/>
    <col min="11" max="11" width="5.83203125" customWidth="1"/>
    <col min="12" max="35" width="4.83203125" customWidth="1"/>
    <col min="36" max="36" width="10.83203125" style="103"/>
  </cols>
  <sheetData>
    <row r="1" spans="1:36" ht="43" customHeight="1" thickBot="1">
      <c r="A1" s="299" t="s">
        <v>57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1"/>
    </row>
    <row r="2" spans="1:36" s="3" customFormat="1" ht="54" customHeight="1">
      <c r="A2" s="380" t="s">
        <v>13</v>
      </c>
      <c r="B2" s="382" t="s">
        <v>36</v>
      </c>
      <c r="C2" s="265" t="s">
        <v>47</v>
      </c>
      <c r="D2" s="265" t="s">
        <v>47</v>
      </c>
      <c r="E2" s="265" t="s">
        <v>48</v>
      </c>
      <c r="F2" s="266" t="s">
        <v>8</v>
      </c>
      <c r="G2" s="265" t="s">
        <v>49</v>
      </c>
      <c r="H2" s="265" t="s">
        <v>4</v>
      </c>
      <c r="I2" s="267" t="s">
        <v>7</v>
      </c>
      <c r="J2" s="149" t="s">
        <v>19</v>
      </c>
      <c r="K2" s="150" t="s">
        <v>20</v>
      </c>
      <c r="L2" s="151" t="s">
        <v>21</v>
      </c>
      <c r="M2" s="152" t="s">
        <v>22</v>
      </c>
      <c r="N2" s="152" t="s">
        <v>19</v>
      </c>
      <c r="O2" s="153" t="s">
        <v>20</v>
      </c>
      <c r="P2" s="149" t="s">
        <v>21</v>
      </c>
      <c r="Q2" s="154" t="s">
        <v>22</v>
      </c>
      <c r="R2" s="154" t="s">
        <v>19</v>
      </c>
      <c r="S2" s="155" t="s">
        <v>20</v>
      </c>
      <c r="T2" s="151" t="s">
        <v>21</v>
      </c>
      <c r="U2" s="152" t="s">
        <v>22</v>
      </c>
      <c r="V2" s="152" t="s">
        <v>19</v>
      </c>
      <c r="W2" s="153" t="s">
        <v>20</v>
      </c>
      <c r="X2" s="149" t="s">
        <v>21</v>
      </c>
      <c r="Y2" s="154" t="s">
        <v>22</v>
      </c>
      <c r="Z2" s="154" t="s">
        <v>19</v>
      </c>
      <c r="AA2" s="150" t="s">
        <v>20</v>
      </c>
      <c r="AB2" s="151" t="s">
        <v>21</v>
      </c>
      <c r="AC2" s="152" t="s">
        <v>22</v>
      </c>
      <c r="AD2" s="152" t="s">
        <v>19</v>
      </c>
      <c r="AE2" s="153" t="s">
        <v>20</v>
      </c>
      <c r="AF2" s="149" t="s">
        <v>21</v>
      </c>
      <c r="AG2" s="154" t="s">
        <v>22</v>
      </c>
      <c r="AH2" s="154" t="s">
        <v>19</v>
      </c>
      <c r="AI2" s="150" t="s">
        <v>20</v>
      </c>
      <c r="AJ2" s="156"/>
    </row>
    <row r="3" spans="1:36" ht="17" thickBot="1">
      <c r="A3" s="381"/>
      <c r="B3" s="383"/>
      <c r="C3" s="157" t="s">
        <v>50</v>
      </c>
      <c r="D3" s="157" t="s">
        <v>14</v>
      </c>
      <c r="E3" s="157" t="s">
        <v>14</v>
      </c>
      <c r="F3" s="158" t="s">
        <v>9</v>
      </c>
      <c r="G3" s="159" t="s">
        <v>5</v>
      </c>
      <c r="H3" s="269" t="s">
        <v>6</v>
      </c>
      <c r="I3" s="270"/>
      <c r="J3" s="371" t="s">
        <v>23</v>
      </c>
      <c r="K3" s="372"/>
      <c r="L3" s="373" t="s">
        <v>24</v>
      </c>
      <c r="M3" s="374"/>
      <c r="N3" s="374"/>
      <c r="O3" s="375"/>
      <c r="P3" s="371" t="s">
        <v>25</v>
      </c>
      <c r="Q3" s="376"/>
      <c r="R3" s="376"/>
      <c r="S3" s="377"/>
      <c r="T3" s="373" t="s">
        <v>26</v>
      </c>
      <c r="U3" s="374"/>
      <c r="V3" s="374"/>
      <c r="W3" s="375"/>
      <c r="X3" s="371" t="s">
        <v>27</v>
      </c>
      <c r="Y3" s="376"/>
      <c r="Z3" s="376"/>
      <c r="AA3" s="372"/>
      <c r="AB3" s="373" t="s">
        <v>28</v>
      </c>
      <c r="AC3" s="374"/>
      <c r="AD3" s="374"/>
      <c r="AE3" s="375"/>
      <c r="AF3" s="371" t="s">
        <v>29</v>
      </c>
      <c r="AG3" s="376"/>
      <c r="AH3" s="376"/>
      <c r="AI3" s="372"/>
      <c r="AJ3" s="156"/>
    </row>
    <row r="4" spans="1:36" ht="35" customHeight="1">
      <c r="A4" s="160">
        <v>1</v>
      </c>
      <c r="B4" s="161" t="s">
        <v>10</v>
      </c>
      <c r="C4" s="162">
        <v>100</v>
      </c>
      <c r="D4" s="163">
        <f>100*4047*10.764</f>
        <v>4356190.8</v>
      </c>
      <c r="E4" s="163"/>
      <c r="F4" s="164">
        <v>1147</v>
      </c>
      <c r="G4" s="271">
        <f>D4*F4/10000000</f>
        <v>499.65508475999997</v>
      </c>
      <c r="H4" s="169">
        <v>18</v>
      </c>
      <c r="I4" s="272">
        <v>46296</v>
      </c>
      <c r="J4" s="174">
        <v>50</v>
      </c>
      <c r="K4" s="167">
        <v>80</v>
      </c>
      <c r="L4" s="168">
        <v>80</v>
      </c>
      <c r="M4" s="169">
        <v>80</v>
      </c>
      <c r="N4" s="169">
        <v>80</v>
      </c>
      <c r="O4" s="170">
        <v>80</v>
      </c>
      <c r="P4" s="166">
        <v>50</v>
      </c>
      <c r="Q4" s="171"/>
      <c r="R4" s="171"/>
      <c r="S4" s="172"/>
      <c r="T4" s="168"/>
      <c r="U4" s="169"/>
      <c r="V4" s="169"/>
      <c r="W4" s="173"/>
      <c r="X4" s="174"/>
      <c r="Y4" s="171"/>
      <c r="Z4" s="171"/>
      <c r="AA4" s="172"/>
      <c r="AB4" s="168"/>
      <c r="AC4" s="169"/>
      <c r="AD4" s="169"/>
      <c r="AE4" s="170"/>
      <c r="AF4" s="166"/>
      <c r="AG4" s="171"/>
      <c r="AH4" s="171"/>
      <c r="AI4" s="175"/>
      <c r="AJ4" s="156">
        <f>SUM(J4:AI4)</f>
        <v>500</v>
      </c>
    </row>
    <row r="5" spans="1:36" ht="35" thickBot="1">
      <c r="A5" s="176">
        <v>2</v>
      </c>
      <c r="B5" s="177" t="s">
        <v>31</v>
      </c>
      <c r="C5" s="178">
        <v>100</v>
      </c>
      <c r="D5" s="179">
        <f>100*4047*10.764</f>
        <v>4356190.8</v>
      </c>
      <c r="E5" s="179"/>
      <c r="F5" s="180">
        <v>172</v>
      </c>
      <c r="G5" s="273">
        <f>D5*F5/10000000</f>
        <v>74.926481760000001</v>
      </c>
      <c r="H5" s="237">
        <v>36</v>
      </c>
      <c r="I5" s="274">
        <v>46296</v>
      </c>
      <c r="J5" s="268">
        <v>1</v>
      </c>
      <c r="K5" s="182">
        <v>2</v>
      </c>
      <c r="L5" s="183">
        <v>6.25</v>
      </c>
      <c r="M5" s="184">
        <v>6.25</v>
      </c>
      <c r="N5" s="184">
        <v>6.25</v>
      </c>
      <c r="O5" s="185">
        <v>7.5</v>
      </c>
      <c r="P5" s="181">
        <v>7.5</v>
      </c>
      <c r="Q5" s="186">
        <v>7.5</v>
      </c>
      <c r="R5" s="186">
        <v>7.5</v>
      </c>
      <c r="S5" s="182">
        <v>8</v>
      </c>
      <c r="T5" s="183">
        <v>6</v>
      </c>
      <c r="U5" s="184">
        <v>6</v>
      </c>
      <c r="V5" s="187">
        <v>3</v>
      </c>
      <c r="W5" s="188"/>
      <c r="X5" s="189"/>
      <c r="Y5" s="190"/>
      <c r="Z5" s="190"/>
      <c r="AA5" s="191"/>
      <c r="AB5" s="192"/>
      <c r="AC5" s="187"/>
      <c r="AD5" s="187"/>
      <c r="AE5" s="193"/>
      <c r="AF5" s="194"/>
      <c r="AG5" s="190"/>
      <c r="AH5" s="190"/>
      <c r="AI5" s="195"/>
      <c r="AJ5" s="156">
        <f t="shared" ref="AJ5:AJ18" si="0">SUM(J5:AI5)</f>
        <v>74.75</v>
      </c>
    </row>
    <row r="6" spans="1:36" ht="24" customHeight="1" thickBot="1">
      <c r="A6" s="386" t="s">
        <v>15</v>
      </c>
      <c r="B6" s="387"/>
      <c r="C6" s="196">
        <v>100</v>
      </c>
      <c r="D6" s="197">
        <f>D5</f>
        <v>4356190.8</v>
      </c>
      <c r="E6" s="197"/>
      <c r="F6" s="198">
        <f>SUM(F4:F5)</f>
        <v>1319</v>
      </c>
      <c r="G6" s="199">
        <f>SUM(G4:G5)</f>
        <v>574.58156652000002</v>
      </c>
      <c r="H6" s="200"/>
      <c r="I6" s="201"/>
      <c r="J6" s="378"/>
      <c r="K6" s="379"/>
      <c r="L6" s="388"/>
      <c r="M6" s="389"/>
      <c r="N6" s="389"/>
      <c r="O6" s="390"/>
      <c r="P6" s="378"/>
      <c r="Q6" s="391"/>
      <c r="R6" s="391"/>
      <c r="S6" s="379"/>
      <c r="T6" s="388"/>
      <c r="U6" s="389"/>
      <c r="V6" s="389"/>
      <c r="W6" s="392"/>
      <c r="X6" s="363"/>
      <c r="Y6" s="363"/>
      <c r="Z6" s="363"/>
      <c r="AA6" s="364"/>
      <c r="AB6" s="393"/>
      <c r="AC6" s="394"/>
      <c r="AD6" s="394"/>
      <c r="AE6" s="394"/>
      <c r="AF6" s="362"/>
      <c r="AG6" s="363"/>
      <c r="AH6" s="363"/>
      <c r="AI6" s="364"/>
      <c r="AJ6" s="156">
        <f t="shared" si="0"/>
        <v>0</v>
      </c>
    </row>
    <row r="7" spans="1:36" ht="34">
      <c r="A7" s="202">
        <v>3</v>
      </c>
      <c r="B7" s="203" t="s">
        <v>11</v>
      </c>
      <c r="C7" s="204"/>
      <c r="D7" s="205"/>
      <c r="E7" s="206">
        <v>12000</v>
      </c>
      <c r="F7" s="206">
        <v>4000</v>
      </c>
      <c r="G7" s="207">
        <f>E7*F7/10000000</f>
        <v>4.8</v>
      </c>
      <c r="H7" s="169">
        <v>6</v>
      </c>
      <c r="I7" s="165">
        <v>46296</v>
      </c>
      <c r="J7" s="194">
        <v>2</v>
      </c>
      <c r="K7" s="182">
        <v>2</v>
      </c>
      <c r="L7" s="192">
        <v>1</v>
      </c>
      <c r="M7" s="187"/>
      <c r="N7" s="187"/>
      <c r="O7" s="193"/>
      <c r="P7" s="194"/>
      <c r="Q7" s="190"/>
      <c r="R7" s="190"/>
      <c r="S7" s="191"/>
      <c r="T7" s="192"/>
      <c r="U7" s="187"/>
      <c r="V7" s="187"/>
      <c r="W7" s="188"/>
      <c r="X7" s="189"/>
      <c r="Y7" s="190"/>
      <c r="Z7" s="190"/>
      <c r="AA7" s="191"/>
      <c r="AB7" s="192"/>
      <c r="AC7" s="187"/>
      <c r="AD7" s="187"/>
      <c r="AE7" s="193"/>
      <c r="AF7" s="194"/>
      <c r="AG7" s="190"/>
      <c r="AH7" s="190"/>
      <c r="AI7" s="195"/>
      <c r="AJ7" s="156">
        <f t="shared" si="0"/>
        <v>5</v>
      </c>
    </row>
    <row r="8" spans="1:36" ht="21" customHeight="1">
      <c r="A8" s="208">
        <v>4</v>
      </c>
      <c r="B8" s="209" t="s">
        <v>62</v>
      </c>
      <c r="C8" s="210">
        <v>1.2</v>
      </c>
      <c r="D8" s="211">
        <f>C8*4047*10.764</f>
        <v>52274.289599999996</v>
      </c>
      <c r="E8" s="212">
        <f>1500*100</f>
        <v>150000</v>
      </c>
      <c r="F8" s="213">
        <v>3000</v>
      </c>
      <c r="G8" s="214">
        <f>E8*F8/10000000</f>
        <v>45</v>
      </c>
      <c r="H8" s="187">
        <v>24</v>
      </c>
      <c r="I8" s="215">
        <v>46388</v>
      </c>
      <c r="J8" s="194"/>
      <c r="K8" s="191">
        <v>1</v>
      </c>
      <c r="L8" s="192">
        <v>3</v>
      </c>
      <c r="M8" s="187">
        <v>3</v>
      </c>
      <c r="N8" s="187">
        <v>5</v>
      </c>
      <c r="O8" s="193">
        <v>5</v>
      </c>
      <c r="P8" s="194">
        <v>6</v>
      </c>
      <c r="Q8" s="190">
        <v>7</v>
      </c>
      <c r="R8" s="190">
        <v>7</v>
      </c>
      <c r="S8" s="191">
        <v>8</v>
      </c>
      <c r="T8" s="192"/>
      <c r="U8" s="187"/>
      <c r="V8" s="187"/>
      <c r="W8" s="188"/>
      <c r="X8" s="189"/>
      <c r="Y8" s="190"/>
      <c r="Z8" s="190"/>
      <c r="AA8" s="191"/>
      <c r="AB8" s="192"/>
      <c r="AC8" s="187"/>
      <c r="AD8" s="187"/>
      <c r="AE8" s="193"/>
      <c r="AF8" s="194"/>
      <c r="AG8" s="190"/>
      <c r="AH8" s="190"/>
      <c r="AI8" s="195"/>
      <c r="AJ8" s="156">
        <f t="shared" si="0"/>
        <v>45</v>
      </c>
    </row>
    <row r="9" spans="1:36" ht="21" customHeight="1">
      <c r="A9" s="208">
        <v>5</v>
      </c>
      <c r="B9" s="209" t="s">
        <v>63</v>
      </c>
      <c r="C9" s="210">
        <v>3</v>
      </c>
      <c r="D9" s="211">
        <f t="shared" ref="D9:D18" si="1">C9*4047*10.764</f>
        <v>130685.72399999999</v>
      </c>
      <c r="E9" s="212">
        <f>60*1750</f>
        <v>105000</v>
      </c>
      <c r="F9" s="213">
        <v>3000</v>
      </c>
      <c r="G9" s="214">
        <f>E9*F9/10000000</f>
        <v>31.5</v>
      </c>
      <c r="H9" s="187">
        <v>36</v>
      </c>
      <c r="I9" s="215">
        <v>46388</v>
      </c>
      <c r="J9" s="194"/>
      <c r="K9" s="191">
        <v>1</v>
      </c>
      <c r="L9" s="192">
        <v>3</v>
      </c>
      <c r="M9" s="187">
        <v>3</v>
      </c>
      <c r="N9" s="187">
        <v>3</v>
      </c>
      <c r="O9" s="193">
        <v>3</v>
      </c>
      <c r="P9" s="194">
        <v>3</v>
      </c>
      <c r="Q9" s="190">
        <v>3</v>
      </c>
      <c r="R9" s="190">
        <v>2</v>
      </c>
      <c r="S9" s="191">
        <v>2</v>
      </c>
      <c r="T9" s="192">
        <v>3</v>
      </c>
      <c r="U9" s="187">
        <v>3</v>
      </c>
      <c r="V9" s="187">
        <v>3</v>
      </c>
      <c r="W9" s="188"/>
      <c r="X9" s="189"/>
      <c r="Y9" s="190"/>
      <c r="Z9" s="190"/>
      <c r="AA9" s="191"/>
      <c r="AB9" s="192"/>
      <c r="AC9" s="187"/>
      <c r="AD9" s="187"/>
      <c r="AE9" s="193"/>
      <c r="AF9" s="194"/>
      <c r="AG9" s="190"/>
      <c r="AH9" s="190"/>
      <c r="AI9" s="195"/>
      <c r="AJ9" s="156">
        <f t="shared" si="0"/>
        <v>32</v>
      </c>
    </row>
    <row r="10" spans="1:36" ht="21" customHeight="1">
      <c r="A10" s="208">
        <v>6</v>
      </c>
      <c r="B10" s="209" t="s">
        <v>64</v>
      </c>
      <c r="C10" s="210">
        <v>1</v>
      </c>
      <c r="D10" s="211">
        <f t="shared" si="1"/>
        <v>43561.907999999996</v>
      </c>
      <c r="E10" s="212">
        <f>32*1000</f>
        <v>32000</v>
      </c>
      <c r="F10" s="213">
        <v>4000</v>
      </c>
      <c r="G10" s="214">
        <f>F10*E10/10000000</f>
        <v>12.8</v>
      </c>
      <c r="H10" s="187">
        <v>36</v>
      </c>
      <c r="I10" s="215">
        <v>46388</v>
      </c>
      <c r="J10" s="194"/>
      <c r="K10" s="191">
        <v>1</v>
      </c>
      <c r="L10" s="192">
        <v>1</v>
      </c>
      <c r="M10" s="187">
        <v>1</v>
      </c>
      <c r="N10" s="187">
        <v>1</v>
      </c>
      <c r="O10" s="193">
        <v>1</v>
      </c>
      <c r="P10" s="194">
        <v>1</v>
      </c>
      <c r="Q10" s="190">
        <v>1</v>
      </c>
      <c r="R10" s="190">
        <v>1</v>
      </c>
      <c r="S10" s="191">
        <v>1</v>
      </c>
      <c r="T10" s="192">
        <v>1</v>
      </c>
      <c r="U10" s="187">
        <v>1</v>
      </c>
      <c r="V10" s="187">
        <v>1</v>
      </c>
      <c r="W10" s="188">
        <v>1</v>
      </c>
      <c r="X10" s="189"/>
      <c r="Y10" s="190"/>
      <c r="Z10" s="190"/>
      <c r="AA10" s="191"/>
      <c r="AB10" s="192"/>
      <c r="AC10" s="187"/>
      <c r="AD10" s="187"/>
      <c r="AE10" s="193"/>
      <c r="AF10" s="194"/>
      <c r="AG10" s="190"/>
      <c r="AH10" s="190"/>
      <c r="AI10" s="195"/>
      <c r="AJ10" s="156">
        <f t="shared" si="0"/>
        <v>13</v>
      </c>
    </row>
    <row r="11" spans="1:36" ht="21" customHeight="1">
      <c r="A11" s="208">
        <v>7</v>
      </c>
      <c r="B11" s="209" t="s">
        <v>0</v>
      </c>
      <c r="C11" s="210">
        <v>6</v>
      </c>
      <c r="D11" s="211">
        <f t="shared" si="1"/>
        <v>261371.44799999997</v>
      </c>
      <c r="E11" s="212">
        <v>200000</v>
      </c>
      <c r="F11" s="213">
        <v>3000</v>
      </c>
      <c r="G11" s="214">
        <f>E11*F11/10000000</f>
        <v>60</v>
      </c>
      <c r="H11" s="187">
        <v>18</v>
      </c>
      <c r="I11" s="215">
        <v>46661</v>
      </c>
      <c r="J11" s="194"/>
      <c r="K11" s="191"/>
      <c r="L11" s="216"/>
      <c r="M11" s="217"/>
      <c r="N11" s="187">
        <v>9</v>
      </c>
      <c r="O11" s="193">
        <v>9</v>
      </c>
      <c r="P11" s="194">
        <v>9</v>
      </c>
      <c r="Q11" s="190">
        <v>9</v>
      </c>
      <c r="R11" s="190">
        <v>12</v>
      </c>
      <c r="S11" s="191">
        <v>12</v>
      </c>
      <c r="T11" s="192"/>
      <c r="U11" s="187"/>
      <c r="V11" s="187"/>
      <c r="W11" s="188"/>
      <c r="X11" s="189"/>
      <c r="Y11" s="190"/>
      <c r="Z11" s="190"/>
      <c r="AA11" s="191"/>
      <c r="AB11" s="192"/>
      <c r="AC11" s="187"/>
      <c r="AD11" s="187"/>
      <c r="AE11" s="193"/>
      <c r="AF11" s="194"/>
      <c r="AG11" s="190"/>
      <c r="AH11" s="190"/>
      <c r="AI11" s="195"/>
      <c r="AJ11" s="156">
        <f t="shared" si="0"/>
        <v>60</v>
      </c>
    </row>
    <row r="12" spans="1:36" ht="21" customHeight="1">
      <c r="A12" s="208">
        <v>8</v>
      </c>
      <c r="B12" s="209" t="s">
        <v>1</v>
      </c>
      <c r="C12" s="210">
        <v>5</v>
      </c>
      <c r="D12" s="211">
        <f t="shared" si="1"/>
        <v>217809.53999999998</v>
      </c>
      <c r="E12" s="212">
        <v>300000</v>
      </c>
      <c r="F12" s="213">
        <v>5000</v>
      </c>
      <c r="G12" s="214">
        <f t="shared" ref="G12:G17" si="2">E12*F12/10000000</f>
        <v>150</v>
      </c>
      <c r="H12" s="187">
        <v>30</v>
      </c>
      <c r="I12" s="215">
        <v>46661</v>
      </c>
      <c r="J12" s="194"/>
      <c r="K12" s="191"/>
      <c r="L12" s="216"/>
      <c r="M12" s="217"/>
      <c r="N12" s="187">
        <v>12</v>
      </c>
      <c r="O12" s="193">
        <v>12</v>
      </c>
      <c r="P12" s="194">
        <v>15</v>
      </c>
      <c r="Q12" s="190">
        <v>15</v>
      </c>
      <c r="R12" s="190">
        <v>15</v>
      </c>
      <c r="S12" s="191">
        <v>15</v>
      </c>
      <c r="T12" s="192">
        <v>15</v>
      </c>
      <c r="U12" s="187">
        <v>15</v>
      </c>
      <c r="V12" s="187">
        <v>18</v>
      </c>
      <c r="W12" s="188">
        <v>18</v>
      </c>
      <c r="X12" s="189"/>
      <c r="Y12" s="190"/>
      <c r="Z12" s="190"/>
      <c r="AA12" s="191"/>
      <c r="AB12" s="192"/>
      <c r="AC12" s="187"/>
      <c r="AD12" s="187"/>
      <c r="AE12" s="193"/>
      <c r="AF12" s="194"/>
      <c r="AG12" s="190"/>
      <c r="AH12" s="190"/>
      <c r="AI12" s="195"/>
      <c r="AJ12" s="156">
        <f t="shared" si="0"/>
        <v>150</v>
      </c>
    </row>
    <row r="13" spans="1:36" ht="21" customHeight="1">
      <c r="A13" s="208">
        <v>9</v>
      </c>
      <c r="B13" s="209" t="s">
        <v>65</v>
      </c>
      <c r="C13" s="210">
        <v>5</v>
      </c>
      <c r="D13" s="211">
        <f t="shared" si="1"/>
        <v>217809.53999999998</v>
      </c>
      <c r="E13" s="212">
        <f>160*1000</f>
        <v>160000</v>
      </c>
      <c r="F13" s="213">
        <v>4000</v>
      </c>
      <c r="G13" s="214">
        <f t="shared" si="2"/>
        <v>64</v>
      </c>
      <c r="H13" s="187">
        <v>24</v>
      </c>
      <c r="I13" s="215">
        <v>46753</v>
      </c>
      <c r="J13" s="194"/>
      <c r="K13" s="191"/>
      <c r="L13" s="192"/>
      <c r="M13" s="187"/>
      <c r="N13" s="187"/>
      <c r="O13" s="193">
        <v>7</v>
      </c>
      <c r="P13" s="194">
        <v>7</v>
      </c>
      <c r="Q13" s="190">
        <v>7</v>
      </c>
      <c r="R13" s="190">
        <v>8</v>
      </c>
      <c r="S13" s="191">
        <v>8</v>
      </c>
      <c r="T13" s="192">
        <v>9</v>
      </c>
      <c r="U13" s="187">
        <v>9</v>
      </c>
      <c r="V13" s="187">
        <v>9</v>
      </c>
      <c r="W13" s="188"/>
      <c r="X13" s="189"/>
      <c r="Y13" s="190"/>
      <c r="Z13" s="190"/>
      <c r="AA13" s="191"/>
      <c r="AB13" s="192"/>
      <c r="AC13" s="187"/>
      <c r="AD13" s="187"/>
      <c r="AE13" s="193"/>
      <c r="AF13" s="194"/>
      <c r="AG13" s="190"/>
      <c r="AH13" s="190"/>
      <c r="AI13" s="195"/>
      <c r="AJ13" s="156">
        <f t="shared" si="0"/>
        <v>64</v>
      </c>
    </row>
    <row r="14" spans="1:36" ht="21" customHeight="1">
      <c r="A14" s="208">
        <v>10</v>
      </c>
      <c r="B14" s="209" t="s">
        <v>2</v>
      </c>
      <c r="C14" s="210">
        <v>1</v>
      </c>
      <c r="D14" s="211">
        <f t="shared" si="1"/>
        <v>43561.907999999996</v>
      </c>
      <c r="E14" s="212">
        <v>10000</v>
      </c>
      <c r="F14" s="213">
        <v>4000</v>
      </c>
      <c r="G14" s="214">
        <f t="shared" si="2"/>
        <v>4</v>
      </c>
      <c r="H14" s="187">
        <v>12</v>
      </c>
      <c r="I14" s="215">
        <v>46844</v>
      </c>
      <c r="J14" s="194"/>
      <c r="K14" s="191"/>
      <c r="L14" s="192"/>
      <c r="M14" s="187"/>
      <c r="N14" s="187"/>
      <c r="O14" s="193"/>
      <c r="P14" s="194">
        <v>1</v>
      </c>
      <c r="Q14" s="190">
        <v>1</v>
      </c>
      <c r="R14" s="190">
        <v>1</v>
      </c>
      <c r="S14" s="191">
        <v>1</v>
      </c>
      <c r="T14" s="192"/>
      <c r="U14" s="187"/>
      <c r="V14" s="187"/>
      <c r="W14" s="188"/>
      <c r="X14" s="189"/>
      <c r="Y14" s="190"/>
      <c r="Z14" s="190"/>
      <c r="AA14" s="191"/>
      <c r="AB14" s="192"/>
      <c r="AC14" s="187"/>
      <c r="AD14" s="187"/>
      <c r="AE14" s="193"/>
      <c r="AF14" s="194"/>
      <c r="AG14" s="190"/>
      <c r="AH14" s="190"/>
      <c r="AI14" s="195"/>
      <c r="AJ14" s="156">
        <f t="shared" si="0"/>
        <v>4</v>
      </c>
    </row>
    <row r="15" spans="1:36" ht="21" customHeight="1">
      <c r="A15" s="208">
        <v>11</v>
      </c>
      <c r="B15" s="209" t="s">
        <v>12</v>
      </c>
      <c r="C15" s="210">
        <v>7</v>
      </c>
      <c r="D15" s="211">
        <f t="shared" si="1"/>
        <v>304933.35599999997</v>
      </c>
      <c r="E15" s="212">
        <v>40000</v>
      </c>
      <c r="F15" s="213">
        <v>6000</v>
      </c>
      <c r="G15" s="214">
        <f>E15*F15/10000000</f>
        <v>24</v>
      </c>
      <c r="H15" s="187">
        <v>24</v>
      </c>
      <c r="I15" s="215">
        <v>47209</v>
      </c>
      <c r="J15" s="194"/>
      <c r="K15" s="191"/>
      <c r="L15" s="192"/>
      <c r="M15" s="187"/>
      <c r="N15" s="187"/>
      <c r="O15" s="193"/>
      <c r="P15" s="194"/>
      <c r="Q15" s="190"/>
      <c r="R15" s="190"/>
      <c r="S15" s="191"/>
      <c r="T15" s="192">
        <v>3</v>
      </c>
      <c r="U15" s="187">
        <v>3</v>
      </c>
      <c r="V15" s="187">
        <v>3</v>
      </c>
      <c r="W15" s="188">
        <v>3</v>
      </c>
      <c r="X15" s="189">
        <v>3</v>
      </c>
      <c r="Y15" s="190">
        <v>3</v>
      </c>
      <c r="Z15" s="190">
        <v>3</v>
      </c>
      <c r="AA15" s="191">
        <v>3</v>
      </c>
      <c r="AB15" s="192"/>
      <c r="AC15" s="187"/>
      <c r="AD15" s="187"/>
      <c r="AE15" s="193"/>
      <c r="AF15" s="194"/>
      <c r="AG15" s="190"/>
      <c r="AH15" s="190"/>
      <c r="AI15" s="195"/>
      <c r="AJ15" s="156">
        <f t="shared" si="0"/>
        <v>24</v>
      </c>
    </row>
    <row r="16" spans="1:36" ht="21" customHeight="1">
      <c r="A16" s="208">
        <v>12</v>
      </c>
      <c r="B16" s="209" t="s">
        <v>3</v>
      </c>
      <c r="C16" s="210">
        <v>4</v>
      </c>
      <c r="D16" s="211">
        <f t="shared" si="1"/>
        <v>174247.63199999998</v>
      </c>
      <c r="E16" s="212">
        <v>300000</v>
      </c>
      <c r="F16" s="213">
        <v>4500</v>
      </c>
      <c r="G16" s="214">
        <f t="shared" si="2"/>
        <v>135</v>
      </c>
      <c r="H16" s="187">
        <v>30</v>
      </c>
      <c r="I16" s="215">
        <v>47209</v>
      </c>
      <c r="J16" s="194"/>
      <c r="K16" s="191"/>
      <c r="L16" s="192"/>
      <c r="M16" s="187"/>
      <c r="N16" s="187"/>
      <c r="O16" s="193"/>
      <c r="P16" s="194"/>
      <c r="Q16" s="190"/>
      <c r="R16" s="190"/>
      <c r="S16" s="191"/>
      <c r="T16" s="192">
        <v>11</v>
      </c>
      <c r="U16" s="187">
        <v>12</v>
      </c>
      <c r="V16" s="187">
        <v>12</v>
      </c>
      <c r="W16" s="188">
        <v>12</v>
      </c>
      <c r="X16" s="189">
        <v>14</v>
      </c>
      <c r="Y16" s="190">
        <v>14</v>
      </c>
      <c r="Z16" s="190">
        <v>15</v>
      </c>
      <c r="AA16" s="191">
        <v>15</v>
      </c>
      <c r="AB16" s="192">
        <v>15</v>
      </c>
      <c r="AC16" s="187">
        <v>15</v>
      </c>
      <c r="AD16" s="187"/>
      <c r="AE16" s="193"/>
      <c r="AF16" s="194"/>
      <c r="AG16" s="190"/>
      <c r="AH16" s="190"/>
      <c r="AI16" s="195"/>
      <c r="AJ16" s="156">
        <f>SUM(J16:AI16)</f>
        <v>135</v>
      </c>
    </row>
    <row r="17" spans="1:37" ht="21" customHeight="1">
      <c r="A17" s="218">
        <v>13</v>
      </c>
      <c r="B17" s="219" t="s">
        <v>66</v>
      </c>
      <c r="C17" s="220">
        <f>640/20</f>
        <v>32</v>
      </c>
      <c r="D17" s="211">
        <f t="shared" si="1"/>
        <v>1393981.0559999999</v>
      </c>
      <c r="E17" s="221">
        <f>640*2000</f>
        <v>1280000</v>
      </c>
      <c r="F17" s="222">
        <v>3000</v>
      </c>
      <c r="G17" s="223">
        <f t="shared" si="2"/>
        <v>384</v>
      </c>
      <c r="H17" s="224">
        <v>48</v>
      </c>
      <c r="I17" s="225">
        <v>47119</v>
      </c>
      <c r="J17" s="226"/>
      <c r="K17" s="227"/>
      <c r="L17" s="228"/>
      <c r="M17" s="224"/>
      <c r="N17" s="224"/>
      <c r="O17" s="229"/>
      <c r="P17" s="226"/>
      <c r="Q17" s="230"/>
      <c r="R17" s="230"/>
      <c r="S17" s="227">
        <v>20</v>
      </c>
      <c r="T17" s="228">
        <v>20</v>
      </c>
      <c r="U17" s="224">
        <v>24</v>
      </c>
      <c r="V17" s="224">
        <v>25</v>
      </c>
      <c r="W17" s="231">
        <v>25</v>
      </c>
      <c r="X17" s="232">
        <v>25</v>
      </c>
      <c r="Y17" s="230">
        <v>25</v>
      </c>
      <c r="Z17" s="230">
        <v>25</v>
      </c>
      <c r="AA17" s="227">
        <v>25</v>
      </c>
      <c r="AB17" s="228">
        <v>25</v>
      </c>
      <c r="AC17" s="224">
        <v>25</v>
      </c>
      <c r="AD17" s="224">
        <v>25</v>
      </c>
      <c r="AE17" s="229">
        <v>25</v>
      </c>
      <c r="AF17" s="226">
        <v>25</v>
      </c>
      <c r="AG17" s="230">
        <v>25</v>
      </c>
      <c r="AH17" s="230">
        <v>20</v>
      </c>
      <c r="AI17" s="233"/>
      <c r="AJ17" s="156">
        <f>SUM(J17:AI17)</f>
        <v>384</v>
      </c>
    </row>
    <row r="18" spans="1:37" ht="21" customHeight="1" thickBot="1">
      <c r="A18" s="218">
        <v>14</v>
      </c>
      <c r="B18" s="219" t="s">
        <v>67</v>
      </c>
      <c r="C18" s="220">
        <v>10.8</v>
      </c>
      <c r="D18" s="211">
        <f t="shared" si="1"/>
        <v>470468.60640000005</v>
      </c>
      <c r="E18" s="221">
        <f>900*1500</f>
        <v>1350000</v>
      </c>
      <c r="F18" s="222">
        <v>3000</v>
      </c>
      <c r="G18" s="223">
        <f>E18*F18/10000000</f>
        <v>405</v>
      </c>
      <c r="H18" s="224">
        <v>48</v>
      </c>
      <c r="I18" s="225">
        <v>47119</v>
      </c>
      <c r="J18" s="234"/>
      <c r="K18" s="235"/>
      <c r="L18" s="236"/>
      <c r="M18" s="237"/>
      <c r="N18" s="237"/>
      <c r="O18" s="238"/>
      <c r="P18" s="234"/>
      <c r="Q18" s="239"/>
      <c r="R18" s="239"/>
      <c r="S18" s="235">
        <v>24</v>
      </c>
      <c r="T18" s="236">
        <v>24</v>
      </c>
      <c r="U18" s="237">
        <v>24</v>
      </c>
      <c r="V18" s="237">
        <v>24</v>
      </c>
      <c r="W18" s="240">
        <v>24</v>
      </c>
      <c r="X18" s="232">
        <v>24</v>
      </c>
      <c r="Y18" s="230">
        <v>24</v>
      </c>
      <c r="Z18" s="230">
        <v>25</v>
      </c>
      <c r="AA18" s="227">
        <v>25</v>
      </c>
      <c r="AB18" s="228">
        <v>25</v>
      </c>
      <c r="AC18" s="224">
        <v>25</v>
      </c>
      <c r="AD18" s="224">
        <v>25</v>
      </c>
      <c r="AE18" s="229">
        <v>25</v>
      </c>
      <c r="AF18" s="226">
        <v>27</v>
      </c>
      <c r="AG18" s="230">
        <v>30</v>
      </c>
      <c r="AH18" s="230">
        <v>30</v>
      </c>
      <c r="AI18" s="233"/>
      <c r="AJ18" s="156">
        <f t="shared" si="0"/>
        <v>405</v>
      </c>
      <c r="AK18" s="104">
        <f>SUM(AJ4:AJ18)</f>
        <v>1895.75</v>
      </c>
    </row>
    <row r="19" spans="1:37" ht="30" customHeight="1">
      <c r="A19" s="384" t="s">
        <v>18</v>
      </c>
      <c r="B19" s="385"/>
      <c r="C19" s="241">
        <f>SUM(C8:C18)</f>
        <v>76</v>
      </c>
      <c r="D19" s="242">
        <f>SUM(D8:D18)</f>
        <v>3310705.0079999994</v>
      </c>
      <c r="E19" s="243">
        <f>SUM(E7:E18)</f>
        <v>3939000</v>
      </c>
      <c r="F19" s="244">
        <f>G19*10000000/E19</f>
        <v>3351.3582127443515</v>
      </c>
      <c r="G19" s="243">
        <f>SUM(G7:G18)</f>
        <v>1320.1</v>
      </c>
      <c r="H19" s="367" t="s">
        <v>17</v>
      </c>
      <c r="I19" s="369" t="s">
        <v>30</v>
      </c>
      <c r="J19" s="245">
        <f t="shared" ref="J19:AI19" si="3">SUM(J7:J18)+SUM(J4:J5)</f>
        <v>53</v>
      </c>
      <c r="K19" s="246">
        <f t="shared" si="3"/>
        <v>87</v>
      </c>
      <c r="L19" s="247">
        <f t="shared" si="3"/>
        <v>94.25</v>
      </c>
      <c r="M19" s="248">
        <f t="shared" si="3"/>
        <v>93.25</v>
      </c>
      <c r="N19" s="248">
        <f t="shared" si="3"/>
        <v>116.25</v>
      </c>
      <c r="O19" s="249">
        <f t="shared" si="3"/>
        <v>124.5</v>
      </c>
      <c r="P19" s="245">
        <f t="shared" si="3"/>
        <v>99.5</v>
      </c>
      <c r="Q19" s="250">
        <f t="shared" si="3"/>
        <v>50.5</v>
      </c>
      <c r="R19" s="250">
        <f t="shared" si="3"/>
        <v>53.5</v>
      </c>
      <c r="S19" s="251">
        <f t="shared" si="3"/>
        <v>99</v>
      </c>
      <c r="T19" s="247">
        <f t="shared" si="3"/>
        <v>92</v>
      </c>
      <c r="U19" s="248">
        <f t="shared" si="3"/>
        <v>97</v>
      </c>
      <c r="V19" s="248">
        <f t="shared" si="3"/>
        <v>98</v>
      </c>
      <c r="W19" s="249">
        <f t="shared" si="3"/>
        <v>83</v>
      </c>
      <c r="X19" s="149">
        <f t="shared" si="3"/>
        <v>66</v>
      </c>
      <c r="Y19" s="154">
        <f t="shared" si="3"/>
        <v>66</v>
      </c>
      <c r="Z19" s="154">
        <f t="shared" si="3"/>
        <v>68</v>
      </c>
      <c r="AA19" s="155">
        <f t="shared" si="3"/>
        <v>68</v>
      </c>
      <c r="AB19" s="151">
        <f t="shared" si="3"/>
        <v>65</v>
      </c>
      <c r="AC19" s="152">
        <f t="shared" si="3"/>
        <v>65</v>
      </c>
      <c r="AD19" s="152">
        <f t="shared" si="3"/>
        <v>50</v>
      </c>
      <c r="AE19" s="153">
        <f t="shared" si="3"/>
        <v>50</v>
      </c>
      <c r="AF19" s="149">
        <f t="shared" si="3"/>
        <v>52</v>
      </c>
      <c r="AG19" s="154">
        <f t="shared" si="3"/>
        <v>55</v>
      </c>
      <c r="AH19" s="154">
        <f t="shared" si="3"/>
        <v>50</v>
      </c>
      <c r="AI19" s="150">
        <f t="shared" si="3"/>
        <v>0</v>
      </c>
      <c r="AJ19" s="252"/>
      <c r="AK19" s="104">
        <f>SUM(J19:AJ19)</f>
        <v>1895.75</v>
      </c>
    </row>
    <row r="20" spans="1:37" ht="37" customHeight="1" thickBot="1">
      <c r="A20" s="365" t="s">
        <v>16</v>
      </c>
      <c r="B20" s="366"/>
      <c r="C20" s="366"/>
      <c r="D20" s="366"/>
      <c r="E20" s="366"/>
      <c r="F20" s="366"/>
      <c r="G20" s="253">
        <f>G19+G6</f>
        <v>1894.6815665199999</v>
      </c>
      <c r="H20" s="368"/>
      <c r="I20" s="370"/>
      <c r="J20" s="358">
        <f>SUM(J19:K19)</f>
        <v>140</v>
      </c>
      <c r="K20" s="361"/>
      <c r="L20" s="355">
        <f>SUM(L19:O19)</f>
        <v>428.25</v>
      </c>
      <c r="M20" s="356"/>
      <c r="N20" s="356"/>
      <c r="O20" s="357"/>
      <c r="P20" s="358">
        <f>SUM(P19:S19)</f>
        <v>302.5</v>
      </c>
      <c r="Q20" s="359"/>
      <c r="R20" s="359"/>
      <c r="S20" s="361"/>
      <c r="T20" s="355">
        <f>SUM(T19:W19)</f>
        <v>370</v>
      </c>
      <c r="U20" s="356"/>
      <c r="V20" s="356"/>
      <c r="W20" s="357"/>
      <c r="X20" s="358">
        <f>SUM(X19:AA19)</f>
        <v>268</v>
      </c>
      <c r="Y20" s="359"/>
      <c r="Z20" s="359"/>
      <c r="AA20" s="361"/>
      <c r="AB20" s="355">
        <f>SUM(AB19:AE19)</f>
        <v>230</v>
      </c>
      <c r="AC20" s="356"/>
      <c r="AD20" s="356"/>
      <c r="AE20" s="357"/>
      <c r="AF20" s="358">
        <f>SUM(AF19:AI19)</f>
        <v>157</v>
      </c>
      <c r="AG20" s="359"/>
      <c r="AH20" s="359"/>
      <c r="AI20" s="360"/>
      <c r="AJ20" s="252"/>
      <c r="AK20" s="104">
        <f>SUM(J4:AI18)</f>
        <v>1895.75</v>
      </c>
    </row>
    <row r="21" spans="1:37">
      <c r="A21" s="254"/>
      <c r="B21" s="255"/>
      <c r="C21" s="256"/>
      <c r="D21" s="255"/>
      <c r="E21" s="254"/>
      <c r="F21" s="256"/>
      <c r="G21" s="256"/>
      <c r="H21" s="254"/>
      <c r="I21" s="254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156"/>
    </row>
    <row r="22" spans="1:37" ht="24" customHeight="1">
      <c r="A22" s="254"/>
      <c r="B22" s="257" t="s">
        <v>37</v>
      </c>
      <c r="C22" s="187"/>
      <c r="D22" s="257"/>
      <c r="E22" s="258">
        <f>G6</f>
        <v>574.58156652000002</v>
      </c>
      <c r="F22" s="187" t="s">
        <v>5</v>
      </c>
      <c r="G22" s="259"/>
      <c r="H22" s="254"/>
      <c r="I22" s="254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156"/>
    </row>
    <row r="23" spans="1:37" ht="24" customHeight="1">
      <c r="A23" s="254"/>
      <c r="B23" s="257" t="s">
        <v>34</v>
      </c>
      <c r="C23" s="187"/>
      <c r="D23" s="257"/>
      <c r="E23" s="258">
        <f>E19</f>
        <v>3939000</v>
      </c>
      <c r="F23" s="187" t="s">
        <v>33</v>
      </c>
      <c r="G23" s="256"/>
      <c r="H23" s="254"/>
      <c r="I23" s="254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156"/>
    </row>
    <row r="24" spans="1:37" ht="24" customHeight="1">
      <c r="A24" s="254"/>
      <c r="B24" s="257" t="s">
        <v>38</v>
      </c>
      <c r="C24" s="187"/>
      <c r="D24" s="257"/>
      <c r="E24" s="258">
        <f>E22*10000000/E23</f>
        <v>1458.6990772277227</v>
      </c>
      <c r="F24" s="187" t="s">
        <v>35</v>
      </c>
      <c r="G24" s="256"/>
      <c r="H24" s="254"/>
      <c r="I24" s="260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156"/>
    </row>
    <row r="25" spans="1:37" ht="24" customHeight="1">
      <c r="A25" s="254"/>
      <c r="B25" s="257" t="s">
        <v>59</v>
      </c>
      <c r="C25" s="187"/>
      <c r="D25" s="261"/>
      <c r="E25" s="262">
        <f>1+F25</f>
        <v>1.25</v>
      </c>
      <c r="F25" s="263">
        <v>0.25</v>
      </c>
      <c r="G25" s="256"/>
      <c r="H25" s="254"/>
      <c r="I25" s="260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156"/>
    </row>
    <row r="26" spans="1:37" ht="24" customHeight="1">
      <c r="A26" s="254"/>
      <c r="B26" s="257" t="s">
        <v>60</v>
      </c>
      <c r="C26" s="187"/>
      <c r="D26" s="261"/>
      <c r="E26" s="262">
        <v>1.2</v>
      </c>
      <c r="F26" s="263">
        <v>0.2</v>
      </c>
      <c r="G26" s="256"/>
      <c r="H26" s="254"/>
      <c r="I26" s="254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156"/>
    </row>
    <row r="27" spans="1:37" ht="24" customHeight="1">
      <c r="A27" s="254"/>
      <c r="B27" s="257" t="s">
        <v>61</v>
      </c>
      <c r="C27" s="187"/>
      <c r="D27" s="261"/>
      <c r="E27" s="262">
        <v>1.1499999999999999</v>
      </c>
      <c r="F27" s="263">
        <v>0.15</v>
      </c>
      <c r="G27" s="256"/>
      <c r="H27" s="254"/>
      <c r="I27" s="254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156"/>
    </row>
    <row r="28" spans="1:37">
      <c r="A28" s="254"/>
      <c r="B28" s="264"/>
      <c r="C28" s="254"/>
      <c r="D28" s="264"/>
      <c r="E28" s="254"/>
      <c r="F28" s="254"/>
      <c r="G28" s="256"/>
      <c r="H28" s="254"/>
      <c r="I28" s="254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156"/>
    </row>
    <row r="29" spans="1:37">
      <c r="A29" s="254"/>
      <c r="B29" s="255"/>
      <c r="C29" s="256"/>
      <c r="D29" s="255"/>
      <c r="E29" s="254"/>
      <c r="F29" s="256"/>
      <c r="G29" s="256"/>
      <c r="H29" s="254"/>
      <c r="I29" s="254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156"/>
    </row>
    <row r="30" spans="1:37">
      <c r="A30" s="254"/>
      <c r="B30" s="255"/>
      <c r="C30" s="256"/>
      <c r="D30" s="255"/>
      <c r="E30" s="254"/>
      <c r="F30" s="256"/>
      <c r="G30" s="256"/>
      <c r="H30" s="254"/>
      <c r="I30" s="254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156"/>
    </row>
    <row r="31" spans="1:37">
      <c r="A31" s="254"/>
      <c r="B31" s="255"/>
      <c r="C31" s="256"/>
      <c r="D31" s="255"/>
      <c r="E31" s="254"/>
      <c r="F31" s="256"/>
      <c r="G31" s="256"/>
      <c r="H31" s="254"/>
      <c r="I31" s="254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156"/>
    </row>
    <row r="32" spans="1:37">
      <c r="A32" s="254"/>
      <c r="B32" s="255"/>
      <c r="C32" s="256"/>
      <c r="D32" s="255"/>
      <c r="E32" s="254"/>
      <c r="F32" s="256"/>
      <c r="G32" s="256"/>
      <c r="H32" s="254"/>
      <c r="I32" s="254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156"/>
    </row>
    <row r="33" spans="1:36">
      <c r="A33" s="254"/>
      <c r="B33" s="255"/>
      <c r="C33" s="256"/>
      <c r="D33" s="255"/>
      <c r="E33" s="254"/>
      <c r="F33" s="256"/>
      <c r="G33" s="256"/>
      <c r="H33" s="254"/>
      <c r="I33" s="254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156"/>
    </row>
    <row r="34" spans="1:36">
      <c r="A34" s="254"/>
      <c r="B34" s="255"/>
      <c r="C34" s="256"/>
      <c r="D34" s="255"/>
      <c r="E34" s="254"/>
      <c r="F34" s="256"/>
      <c r="G34" s="256"/>
      <c r="H34" s="254"/>
      <c r="I34" s="254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156"/>
    </row>
    <row r="35" spans="1:36">
      <c r="A35" s="254"/>
      <c r="B35" s="255"/>
      <c r="C35" s="256"/>
      <c r="D35" s="255"/>
      <c r="E35" s="254"/>
      <c r="F35" s="256"/>
      <c r="G35" s="256"/>
      <c r="H35" s="254"/>
      <c r="I35" s="254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156"/>
    </row>
    <row r="36" spans="1:36">
      <c r="A36" s="254"/>
      <c r="B36" s="255"/>
      <c r="C36" s="256"/>
      <c r="D36" s="255"/>
      <c r="E36" s="254"/>
      <c r="F36" s="256"/>
      <c r="G36" s="256"/>
      <c r="H36" s="254"/>
      <c r="I36" s="254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156"/>
    </row>
  </sheetData>
  <mergeCells count="29">
    <mergeCell ref="X3:AA3"/>
    <mergeCell ref="AB3:AE3"/>
    <mergeCell ref="AF3:AI3"/>
    <mergeCell ref="L6:O6"/>
    <mergeCell ref="P6:S6"/>
    <mergeCell ref="T6:W6"/>
    <mergeCell ref="X6:AA6"/>
    <mergeCell ref="AB6:AE6"/>
    <mergeCell ref="A2:A3"/>
    <mergeCell ref="B2:B3"/>
    <mergeCell ref="A19:B19"/>
    <mergeCell ref="A6:B6"/>
    <mergeCell ref="T3:W3"/>
    <mergeCell ref="AB20:AE20"/>
    <mergeCell ref="AF20:AI20"/>
    <mergeCell ref="A1:AI1"/>
    <mergeCell ref="J20:K20"/>
    <mergeCell ref="L20:O20"/>
    <mergeCell ref="P20:S20"/>
    <mergeCell ref="T20:W20"/>
    <mergeCell ref="X20:AA20"/>
    <mergeCell ref="AF6:AI6"/>
    <mergeCell ref="A20:F20"/>
    <mergeCell ref="H19:H20"/>
    <mergeCell ref="I19:I20"/>
    <mergeCell ref="J3:K3"/>
    <mergeCell ref="L3:O3"/>
    <mergeCell ref="P3:S3"/>
    <mergeCell ref="J6:K6"/>
  </mergeCells>
  <phoneticPr fontId="1" type="noConversion"/>
  <conditionalFormatting sqref="G7">
    <cfRule type="cellIs" dxfId="1" priority="1" operator="equal">
      <formula>$AJ$7</formula>
    </cfRule>
    <cfRule type="cellIs" dxfId="0" priority="2" operator="equal">
      <formula>$AJ$7</formula>
    </cfRule>
  </conditionalFormatting>
  <pageMargins left="0.7" right="0.7" top="0.75" bottom="0.75" header="0.3" footer="0.3"/>
  <ignoredErrors>
    <ignoredError sqref="G10 G6 F19" formula="1"/>
    <ignoredError sqref="AJ4:AJ1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2499-B1DA-C04F-81DE-B3F68D2B020A}">
  <dimension ref="A1:AI33"/>
  <sheetViews>
    <sheetView tabSelected="1" topLeftCell="A11" zoomScaleNormal="100" workbookViewId="0">
      <selection activeCell="K27" sqref="K27:N27"/>
    </sheetView>
  </sheetViews>
  <sheetFormatPr baseColWidth="10" defaultRowHeight="16"/>
  <cols>
    <col min="1" max="1" width="6.83203125" style="2" customWidth="1"/>
    <col min="2" max="2" width="38.83203125" customWidth="1"/>
    <col min="3" max="3" width="15.1640625" customWidth="1"/>
    <col min="4" max="4" width="16.6640625" style="1" customWidth="1"/>
    <col min="5" max="5" width="5.1640625" customWidth="1"/>
    <col min="6" max="6" width="5.83203125" customWidth="1"/>
    <col min="7" max="30" width="4.83203125" customWidth="1"/>
    <col min="31" max="31" width="10.83203125" style="114"/>
    <col min="32" max="32" width="10.83203125" style="1"/>
  </cols>
  <sheetData>
    <row r="1" spans="1:35" ht="43" customHeight="1" thickBot="1">
      <c r="A1" s="299" t="s">
        <v>58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1"/>
      <c r="AE1" s="113"/>
      <c r="AF1" s="109"/>
      <c r="AG1" s="109"/>
      <c r="AH1" s="109"/>
      <c r="AI1" s="110"/>
    </row>
    <row r="2" spans="1:35" s="3" customFormat="1" ht="35" customHeight="1">
      <c r="A2" s="311" t="s">
        <v>13</v>
      </c>
      <c r="B2" s="313" t="s">
        <v>36</v>
      </c>
      <c r="C2" s="6" t="s">
        <v>46</v>
      </c>
      <c r="D2" s="6" t="s">
        <v>43</v>
      </c>
      <c r="E2" s="12" t="s">
        <v>19</v>
      </c>
      <c r="F2" s="13" t="s">
        <v>20</v>
      </c>
      <c r="G2" s="14" t="s">
        <v>21</v>
      </c>
      <c r="H2" s="15" t="s">
        <v>22</v>
      </c>
      <c r="I2" s="15" t="s">
        <v>19</v>
      </c>
      <c r="J2" s="16" t="s">
        <v>20</v>
      </c>
      <c r="K2" s="12" t="s">
        <v>21</v>
      </c>
      <c r="L2" s="17" t="s">
        <v>22</v>
      </c>
      <c r="M2" s="17" t="s">
        <v>19</v>
      </c>
      <c r="N2" s="18" t="s">
        <v>20</v>
      </c>
      <c r="O2" s="14" t="s">
        <v>21</v>
      </c>
      <c r="P2" s="15" t="s">
        <v>22</v>
      </c>
      <c r="Q2" s="15" t="s">
        <v>19</v>
      </c>
      <c r="R2" s="16" t="s">
        <v>20</v>
      </c>
      <c r="S2" s="12" t="s">
        <v>21</v>
      </c>
      <c r="T2" s="17" t="s">
        <v>22</v>
      </c>
      <c r="U2" s="17" t="s">
        <v>19</v>
      </c>
      <c r="V2" s="13" t="s">
        <v>20</v>
      </c>
      <c r="W2" s="14" t="s">
        <v>21</v>
      </c>
      <c r="X2" s="15" t="s">
        <v>22</v>
      </c>
      <c r="Y2" s="15" t="s">
        <v>19</v>
      </c>
      <c r="Z2" s="16" t="s">
        <v>20</v>
      </c>
      <c r="AA2" s="12" t="s">
        <v>21</v>
      </c>
      <c r="AB2" s="17" t="s">
        <v>22</v>
      </c>
      <c r="AC2" s="17" t="s">
        <v>19</v>
      </c>
      <c r="AD2" s="13" t="s">
        <v>20</v>
      </c>
      <c r="AE2" s="114"/>
      <c r="AF2" s="2"/>
    </row>
    <row r="3" spans="1:35" ht="23" customHeight="1" thickBot="1">
      <c r="A3" s="312"/>
      <c r="B3" s="314"/>
      <c r="C3" s="106" t="s">
        <v>5</v>
      </c>
      <c r="D3" s="106" t="s">
        <v>5</v>
      </c>
      <c r="E3" s="302" t="s">
        <v>23</v>
      </c>
      <c r="F3" s="303"/>
      <c r="G3" s="315" t="s">
        <v>24</v>
      </c>
      <c r="H3" s="316"/>
      <c r="I3" s="316"/>
      <c r="J3" s="317"/>
      <c r="K3" s="302" t="s">
        <v>25</v>
      </c>
      <c r="L3" s="304"/>
      <c r="M3" s="304"/>
      <c r="N3" s="318"/>
      <c r="O3" s="315" t="s">
        <v>26</v>
      </c>
      <c r="P3" s="316"/>
      <c r="Q3" s="316"/>
      <c r="R3" s="317"/>
      <c r="S3" s="302" t="s">
        <v>27</v>
      </c>
      <c r="T3" s="304"/>
      <c r="U3" s="304"/>
      <c r="V3" s="303"/>
      <c r="W3" s="315" t="s">
        <v>28</v>
      </c>
      <c r="X3" s="316"/>
      <c r="Y3" s="316"/>
      <c r="Z3" s="317"/>
      <c r="AA3" s="302" t="s">
        <v>29</v>
      </c>
      <c r="AB3" s="304"/>
      <c r="AC3" s="304"/>
      <c r="AD3" s="303"/>
    </row>
    <row r="4" spans="1:35" ht="33" customHeight="1">
      <c r="A4" s="4">
        <v>1</v>
      </c>
      <c r="B4" s="64" t="s">
        <v>68</v>
      </c>
      <c r="C4" s="125"/>
      <c r="D4" s="144">
        <f>SUM(E4:AD4)</f>
        <v>200</v>
      </c>
      <c r="E4" s="65">
        <v>54</v>
      </c>
      <c r="F4" s="58">
        <v>20</v>
      </c>
      <c r="G4" s="20">
        <v>20</v>
      </c>
      <c r="H4" s="8">
        <v>20</v>
      </c>
      <c r="I4" s="8">
        <v>20</v>
      </c>
      <c r="J4" s="59">
        <v>20</v>
      </c>
      <c r="K4" s="21">
        <v>16</v>
      </c>
      <c r="L4" s="22">
        <v>10</v>
      </c>
      <c r="M4" s="22">
        <v>10</v>
      </c>
      <c r="N4" s="23">
        <v>10</v>
      </c>
      <c r="O4" s="20"/>
      <c r="P4" s="8"/>
      <c r="Q4" s="8"/>
      <c r="R4" s="59"/>
      <c r="S4" s="21"/>
      <c r="T4" s="22"/>
      <c r="U4" s="22"/>
      <c r="V4" s="23"/>
      <c r="W4" s="20"/>
      <c r="X4" s="8"/>
      <c r="Y4" s="8"/>
      <c r="Z4" s="59"/>
      <c r="AA4" s="98"/>
      <c r="AB4" s="22"/>
      <c r="AC4" s="22"/>
      <c r="AD4" s="23"/>
      <c r="AE4" s="114">
        <f>SUM(E4:AD4)</f>
        <v>200</v>
      </c>
    </row>
    <row r="5" spans="1:35" ht="37" customHeight="1">
      <c r="A5" s="129">
        <v>2</v>
      </c>
      <c r="B5" s="119" t="s">
        <v>32</v>
      </c>
      <c r="C5" s="126"/>
      <c r="D5" s="145">
        <f>SUM(E5:AD5)</f>
        <v>300</v>
      </c>
      <c r="E5" s="279"/>
      <c r="F5" s="280">
        <v>100</v>
      </c>
      <c r="G5" s="26">
        <v>100</v>
      </c>
      <c r="H5" s="27">
        <v>100</v>
      </c>
      <c r="I5" s="27"/>
      <c r="J5" s="283"/>
      <c r="K5" s="24"/>
      <c r="L5" s="28"/>
      <c r="M5" s="28"/>
      <c r="N5" s="280"/>
      <c r="O5" s="26"/>
      <c r="P5" s="27"/>
      <c r="Q5" s="10"/>
      <c r="R5" s="84"/>
      <c r="S5" s="30"/>
      <c r="T5" s="31"/>
      <c r="U5" s="31"/>
      <c r="V5" s="34"/>
      <c r="W5" s="33"/>
      <c r="X5" s="10"/>
      <c r="Y5" s="10"/>
      <c r="Z5" s="84"/>
      <c r="AA5" s="43"/>
      <c r="AB5" s="31"/>
      <c r="AC5" s="31"/>
      <c r="AD5" s="34"/>
      <c r="AE5" s="114">
        <f t="shared" ref="AE5:AE19" si="0">SUM(E5:AD5)</f>
        <v>300</v>
      </c>
    </row>
    <row r="6" spans="1:35" ht="26" customHeight="1" thickBot="1">
      <c r="A6" s="130"/>
      <c r="B6" s="131"/>
      <c r="C6" s="132"/>
      <c r="D6" s="148">
        <f>SUM(D4:D5)</f>
        <v>500</v>
      </c>
      <c r="E6" s="281"/>
      <c r="F6" s="282"/>
      <c r="G6" s="133"/>
      <c r="H6" s="134"/>
      <c r="I6" s="134"/>
      <c r="J6" s="284"/>
      <c r="K6" s="135"/>
      <c r="L6" s="136"/>
      <c r="M6" s="136"/>
      <c r="N6" s="282"/>
      <c r="O6" s="133"/>
      <c r="P6" s="134"/>
      <c r="Q6" s="137"/>
      <c r="R6" s="138"/>
      <c r="S6" s="142"/>
      <c r="T6" s="140"/>
      <c r="U6" s="140"/>
      <c r="V6" s="143"/>
      <c r="W6" s="141"/>
      <c r="X6" s="137"/>
      <c r="Y6" s="137"/>
      <c r="Z6" s="138"/>
      <c r="AA6" s="139"/>
      <c r="AB6" s="140"/>
      <c r="AC6" s="140"/>
      <c r="AD6" s="143"/>
    </row>
    <row r="7" spans="1:35" ht="35" customHeight="1">
      <c r="A7" s="116">
        <v>3</v>
      </c>
      <c r="B7" s="117" t="s">
        <v>39</v>
      </c>
      <c r="C7" s="118">
        <f>Outflow!G6</f>
        <v>574.58156652000002</v>
      </c>
      <c r="D7" s="146">
        <v>0</v>
      </c>
      <c r="E7" s="49"/>
      <c r="F7" s="50"/>
      <c r="G7" s="51"/>
      <c r="H7" s="101"/>
      <c r="I7" s="101"/>
      <c r="J7" s="127"/>
      <c r="K7" s="49"/>
      <c r="L7" s="128"/>
      <c r="M7" s="128"/>
      <c r="N7" s="50"/>
      <c r="O7" s="51"/>
      <c r="P7" s="101"/>
      <c r="Q7" s="42"/>
      <c r="R7" s="102"/>
      <c r="S7" s="86"/>
      <c r="T7" s="53"/>
      <c r="U7" s="53"/>
      <c r="V7" s="54"/>
      <c r="W7" s="55"/>
      <c r="X7" s="42"/>
      <c r="Y7" s="42"/>
      <c r="Z7" s="52"/>
      <c r="AA7" s="19"/>
      <c r="AB7" s="53"/>
      <c r="AC7" s="53"/>
      <c r="AD7" s="56"/>
      <c r="AE7" s="114">
        <f t="shared" si="0"/>
        <v>0</v>
      </c>
    </row>
    <row r="8" spans="1:35" ht="34">
      <c r="A8" s="5">
        <v>4</v>
      </c>
      <c r="B8" s="48" t="s">
        <v>11</v>
      </c>
      <c r="C8" s="107">
        <f>Outflow!G7</f>
        <v>4.8</v>
      </c>
      <c r="D8" s="147">
        <v>0</v>
      </c>
      <c r="E8" s="43"/>
      <c r="F8" s="25"/>
      <c r="G8" s="33"/>
      <c r="H8" s="10"/>
      <c r="I8" s="10"/>
      <c r="J8" s="29"/>
      <c r="K8" s="30"/>
      <c r="L8" s="31"/>
      <c r="M8" s="31"/>
      <c r="N8" s="32"/>
      <c r="O8" s="33"/>
      <c r="P8" s="10"/>
      <c r="Q8" s="10"/>
      <c r="R8" s="84"/>
      <c r="S8" s="43"/>
      <c r="T8" s="31"/>
      <c r="U8" s="31"/>
      <c r="V8" s="32"/>
      <c r="W8" s="33"/>
      <c r="X8" s="10"/>
      <c r="Y8" s="10"/>
      <c r="Z8" s="29"/>
      <c r="AA8" s="30"/>
      <c r="AB8" s="31"/>
      <c r="AC8" s="31"/>
      <c r="AD8" s="34"/>
      <c r="AE8" s="114">
        <f t="shared" si="0"/>
        <v>0</v>
      </c>
    </row>
    <row r="9" spans="1:35">
      <c r="A9" s="5">
        <v>5</v>
      </c>
      <c r="B9" s="46" t="s">
        <v>52</v>
      </c>
      <c r="C9" s="108">
        <f>Outflow!G8</f>
        <v>45</v>
      </c>
      <c r="D9" s="147">
        <f>(Outflow!G8*Outflow!E$27^(Outflow!H8/12)-Outflow!G8)+(Outflow!D8*Outflow!E$24/10000000*Outflow!E$25)+(Outflow!G8*Outflow!E$26)</f>
        <v>78.044057250281838</v>
      </c>
      <c r="E9" s="30"/>
      <c r="F9" s="111">
        <f>0.2*D9</f>
        <v>15.608811450056368</v>
      </c>
      <c r="G9" s="112">
        <f>F9</f>
        <v>15.608811450056368</v>
      </c>
      <c r="H9" s="10">
        <v>6</v>
      </c>
      <c r="I9" s="10">
        <v>6</v>
      </c>
      <c r="J9" s="29">
        <v>6</v>
      </c>
      <c r="K9" s="30">
        <v>6</v>
      </c>
      <c r="L9" s="31">
        <v>6</v>
      </c>
      <c r="M9" s="31">
        <v>6</v>
      </c>
      <c r="N9" s="32">
        <v>6</v>
      </c>
      <c r="O9" s="33">
        <v>5</v>
      </c>
      <c r="P9" s="10"/>
      <c r="Q9" s="10"/>
      <c r="R9" s="84"/>
      <c r="S9" s="43"/>
      <c r="T9" s="31"/>
      <c r="U9" s="31"/>
      <c r="V9" s="32"/>
      <c r="W9" s="33"/>
      <c r="X9" s="10"/>
      <c r="Y9" s="10"/>
      <c r="Z9" s="29"/>
      <c r="AA9" s="30"/>
      <c r="AB9" s="31"/>
      <c r="AC9" s="31"/>
      <c r="AD9" s="34"/>
      <c r="AE9" s="114">
        <f t="shared" si="0"/>
        <v>78.21762290011273</v>
      </c>
    </row>
    <row r="10" spans="1:35" ht="21" customHeight="1">
      <c r="A10" s="5">
        <v>6</v>
      </c>
      <c r="B10" s="46" t="s">
        <v>55</v>
      </c>
      <c r="C10" s="108">
        <f>Outflow!G9</f>
        <v>31.5</v>
      </c>
      <c r="D10" s="147">
        <f>(Outflow!G9*Outflow!E$27^(Outflow!H9/12)-Outflow!G9)+(Outflow!D9*Outflow!E$24/10000000*Outflow!E$25)+(Outflow!G9*Outflow!E$26)</f>
        <v>78.03645562570459</v>
      </c>
      <c r="E10" s="30"/>
      <c r="F10" s="111">
        <f t="shared" ref="F10:F11" si="1">0.2*D10</f>
        <v>15.607291125140918</v>
      </c>
      <c r="G10" s="112">
        <f t="shared" ref="G10:G11" si="2">F10</f>
        <v>15.607291125140918</v>
      </c>
      <c r="H10" s="10">
        <v>4</v>
      </c>
      <c r="I10" s="10">
        <v>4</v>
      </c>
      <c r="J10" s="29">
        <v>4</v>
      </c>
      <c r="K10" s="30">
        <v>5</v>
      </c>
      <c r="L10" s="31">
        <v>5</v>
      </c>
      <c r="M10" s="31">
        <v>5</v>
      </c>
      <c r="N10" s="32">
        <v>5</v>
      </c>
      <c r="O10" s="33">
        <v>5</v>
      </c>
      <c r="P10" s="10">
        <v>5</v>
      </c>
      <c r="Q10" s="10">
        <v>5</v>
      </c>
      <c r="R10" s="84"/>
      <c r="S10" s="43"/>
      <c r="T10" s="31"/>
      <c r="U10" s="31"/>
      <c r="V10" s="32"/>
      <c r="W10" s="33"/>
      <c r="X10" s="10"/>
      <c r="Y10" s="10"/>
      <c r="Z10" s="29"/>
      <c r="AA10" s="30"/>
      <c r="AB10" s="31"/>
      <c r="AC10" s="31"/>
      <c r="AD10" s="34"/>
      <c r="AE10" s="114">
        <f t="shared" si="0"/>
        <v>78.214582250281836</v>
      </c>
    </row>
    <row r="11" spans="1:35" ht="21" customHeight="1">
      <c r="A11" s="5">
        <v>7</v>
      </c>
      <c r="B11" s="46" t="s">
        <v>53</v>
      </c>
      <c r="C11" s="108">
        <f>Outflow!G10</f>
        <v>12.8</v>
      </c>
      <c r="D11" s="147">
        <f>(Outflow!G10*Outflow!E$27^(Outflow!H10/12)-Outflow!G10)+(Outflow!D10*Outflow!E$24/10000000*Outflow!E$25)+(Outflow!G10*Outflow!E$26)</f>
        <v>29.970164375234862</v>
      </c>
      <c r="E11" s="30"/>
      <c r="F11" s="111">
        <f t="shared" si="1"/>
        <v>5.9940328750469725</v>
      </c>
      <c r="G11" s="112">
        <f t="shared" si="2"/>
        <v>5.9940328750469725</v>
      </c>
      <c r="H11" s="10">
        <v>1</v>
      </c>
      <c r="I11" s="10">
        <v>1</v>
      </c>
      <c r="J11" s="29">
        <v>1</v>
      </c>
      <c r="K11" s="30">
        <v>1</v>
      </c>
      <c r="L11" s="31">
        <v>2</v>
      </c>
      <c r="M11" s="31">
        <v>2</v>
      </c>
      <c r="N11" s="32">
        <v>2</v>
      </c>
      <c r="O11" s="33">
        <v>2</v>
      </c>
      <c r="P11" s="10">
        <v>2</v>
      </c>
      <c r="Q11" s="10">
        <v>2</v>
      </c>
      <c r="R11" s="84">
        <v>2</v>
      </c>
      <c r="S11" s="43"/>
      <c r="T11" s="31"/>
      <c r="U11" s="31"/>
      <c r="V11" s="32"/>
      <c r="W11" s="33"/>
      <c r="X11" s="10"/>
      <c r="Y11" s="10"/>
      <c r="Z11" s="29"/>
      <c r="AA11" s="30"/>
      <c r="AB11" s="31"/>
      <c r="AC11" s="31"/>
      <c r="AD11" s="34"/>
      <c r="AE11" s="114">
        <f t="shared" si="0"/>
        <v>29.988065750093945</v>
      </c>
    </row>
    <row r="12" spans="1:35" ht="21" customHeight="1">
      <c r="A12" s="5">
        <v>8</v>
      </c>
      <c r="B12" s="46" t="s">
        <v>0</v>
      </c>
      <c r="C12" s="108">
        <f>Outflow!G11</f>
        <v>60</v>
      </c>
      <c r="D12" s="147">
        <f>(Outflow!G11*Outflow!E$27^(Outflow!H11/12)-Outflow!G11)+(Outflow!D11*Outflow!E$24/10000000*Outflow!E$25)+(Outflow!G11*Outflow!E$26)</f>
        <v>133.6520427852781</v>
      </c>
      <c r="E12" s="30"/>
      <c r="F12" s="32"/>
      <c r="G12" s="99"/>
      <c r="H12" s="100"/>
      <c r="I12" s="10">
        <v>18</v>
      </c>
      <c r="J12" s="29">
        <v>18</v>
      </c>
      <c r="K12" s="30">
        <v>18</v>
      </c>
      <c r="L12" s="31">
        <v>20</v>
      </c>
      <c r="M12" s="31">
        <v>30</v>
      </c>
      <c r="N12" s="32">
        <v>30</v>
      </c>
      <c r="O12" s="33"/>
      <c r="P12" s="10"/>
      <c r="Q12" s="10"/>
      <c r="R12" s="84"/>
      <c r="S12" s="43"/>
      <c r="T12" s="31"/>
      <c r="U12" s="31"/>
      <c r="V12" s="32"/>
      <c r="W12" s="33"/>
      <c r="X12" s="10"/>
      <c r="Y12" s="10"/>
      <c r="Z12" s="29"/>
      <c r="AA12" s="30"/>
      <c r="AB12" s="31"/>
      <c r="AC12" s="31"/>
      <c r="AD12" s="34"/>
      <c r="AE12" s="114">
        <f t="shared" si="0"/>
        <v>134</v>
      </c>
    </row>
    <row r="13" spans="1:35" ht="21" customHeight="1">
      <c r="A13" s="5">
        <v>9</v>
      </c>
      <c r="B13" s="46" t="s">
        <v>1</v>
      </c>
      <c r="C13" s="108">
        <f>Outflow!G12</f>
        <v>150</v>
      </c>
      <c r="D13" s="147">
        <f>(Outflow!G12*Outflow!E$27^(Outflow!H12/12)-Outflow!G12)+(Outflow!D12*Outflow!E$24/10000000*Outflow!E$25)+(Outflow!G12*Outflow!E$26)</f>
        <v>282.44830941104738</v>
      </c>
      <c r="E13" s="30"/>
      <c r="F13" s="32"/>
      <c r="G13" s="99"/>
      <c r="H13" s="100"/>
      <c r="I13" s="10">
        <v>20</v>
      </c>
      <c r="J13" s="29">
        <v>20</v>
      </c>
      <c r="K13" s="30">
        <v>28</v>
      </c>
      <c r="L13" s="31">
        <v>28</v>
      </c>
      <c r="M13" s="31">
        <v>28</v>
      </c>
      <c r="N13" s="32">
        <v>28</v>
      </c>
      <c r="O13" s="33">
        <v>30</v>
      </c>
      <c r="P13" s="10">
        <v>30</v>
      </c>
      <c r="Q13" s="10">
        <v>30</v>
      </c>
      <c r="R13" s="84">
        <v>40</v>
      </c>
      <c r="S13" s="43"/>
      <c r="T13" s="31"/>
      <c r="U13" s="31"/>
      <c r="V13" s="32"/>
      <c r="W13" s="33"/>
      <c r="X13" s="10"/>
      <c r="Y13" s="10"/>
      <c r="Z13" s="29"/>
      <c r="AA13" s="30"/>
      <c r="AB13" s="31"/>
      <c r="AC13" s="31"/>
      <c r="AD13" s="34"/>
      <c r="AE13" s="114">
        <f t="shared" si="0"/>
        <v>282</v>
      </c>
    </row>
    <row r="14" spans="1:35" ht="21" customHeight="1">
      <c r="A14" s="5">
        <v>10</v>
      </c>
      <c r="B14" s="46" t="s">
        <v>54</v>
      </c>
      <c r="C14" s="108">
        <f>Outflow!G13</f>
        <v>64</v>
      </c>
      <c r="D14" s="147">
        <f>(Outflow!G13*Outflow!E$27^(Outflow!H13/12)-Outflow!G13)+(Outflow!D13*Outflow!E$24/10000000*Outflow!E$25)+(Outflow!G13*Outflow!E$26)</f>
        <v>137.15482187617431</v>
      </c>
      <c r="E14" s="30"/>
      <c r="F14" s="32"/>
      <c r="G14" s="33"/>
      <c r="H14" s="10"/>
      <c r="I14" s="10"/>
      <c r="J14" s="29">
        <v>25</v>
      </c>
      <c r="K14" s="30">
        <v>12</v>
      </c>
      <c r="L14" s="31">
        <v>12</v>
      </c>
      <c r="M14" s="31">
        <v>12</v>
      </c>
      <c r="N14" s="32">
        <v>20</v>
      </c>
      <c r="O14" s="33">
        <v>20</v>
      </c>
      <c r="P14" s="10">
        <v>20</v>
      </c>
      <c r="Q14" s="10">
        <v>16</v>
      </c>
      <c r="R14" s="84"/>
      <c r="S14" s="43"/>
      <c r="T14" s="31"/>
      <c r="U14" s="31"/>
      <c r="V14" s="32"/>
      <c r="W14" s="33"/>
      <c r="X14" s="10"/>
      <c r="Y14" s="10"/>
      <c r="Z14" s="29"/>
      <c r="AA14" s="30"/>
      <c r="AB14" s="31"/>
      <c r="AC14" s="31"/>
      <c r="AD14" s="34"/>
      <c r="AE14" s="114">
        <f t="shared" si="0"/>
        <v>137</v>
      </c>
    </row>
    <row r="15" spans="1:35" ht="21" customHeight="1">
      <c r="A15" s="5">
        <v>11</v>
      </c>
      <c r="B15" s="46" t="s">
        <v>2</v>
      </c>
      <c r="C15" s="108">
        <f>Outflow!G14</f>
        <v>4</v>
      </c>
      <c r="D15" s="147">
        <f>(Outflow!G14*Outflow!E$27^(Outflow!H14/12)-Outflow!G14)+(Outflow!D14*Outflow!E$24/10000000*Outflow!E$25)+(Outflow!G14*Outflow!E$26)</f>
        <v>13.342964375234867</v>
      </c>
      <c r="E15" s="30"/>
      <c r="F15" s="32"/>
      <c r="G15" s="33"/>
      <c r="H15" s="10"/>
      <c r="I15" s="10"/>
      <c r="J15" s="29"/>
      <c r="K15" s="30">
        <v>1</v>
      </c>
      <c r="L15" s="31">
        <v>1</v>
      </c>
      <c r="M15" s="31">
        <v>1</v>
      </c>
      <c r="N15" s="32">
        <v>1</v>
      </c>
      <c r="O15" s="33">
        <v>1</v>
      </c>
      <c r="P15" s="10">
        <v>1</v>
      </c>
      <c r="Q15" s="10">
        <v>1</v>
      </c>
      <c r="R15" s="84">
        <v>1</v>
      </c>
      <c r="S15" s="43">
        <v>1</v>
      </c>
      <c r="T15" s="31">
        <v>1</v>
      </c>
      <c r="U15" s="31">
        <v>1</v>
      </c>
      <c r="V15" s="32">
        <v>1</v>
      </c>
      <c r="W15" s="33">
        <v>1</v>
      </c>
      <c r="X15" s="10"/>
      <c r="Y15" s="10"/>
      <c r="Z15" s="29"/>
      <c r="AA15" s="30"/>
      <c r="AB15" s="31"/>
      <c r="AC15" s="31"/>
      <c r="AD15" s="34"/>
      <c r="AE15" s="114">
        <f t="shared" si="0"/>
        <v>13</v>
      </c>
    </row>
    <row r="16" spans="1:35" ht="21" customHeight="1">
      <c r="A16" s="5">
        <v>12</v>
      </c>
      <c r="B16" s="46" t="s">
        <v>12</v>
      </c>
      <c r="C16" s="108">
        <f>Outflow!G15</f>
        <v>24</v>
      </c>
      <c r="D16" s="147">
        <f>(Outflow!G15*Outflow!E$27^(Outflow!H15/12)-Outflow!G15)+(Outflow!D15*Outflow!E$24/10000000*Outflow!E$25)+(Outflow!G15*Outflow!E$26)</f>
        <v>92.140750626644063</v>
      </c>
      <c r="E16" s="30"/>
      <c r="F16" s="32"/>
      <c r="G16" s="33"/>
      <c r="H16" s="10"/>
      <c r="I16" s="10"/>
      <c r="J16" s="29"/>
      <c r="K16" s="30"/>
      <c r="L16" s="31"/>
      <c r="M16" s="31"/>
      <c r="N16" s="32"/>
      <c r="O16" s="33">
        <v>6</v>
      </c>
      <c r="P16" s="10">
        <v>6</v>
      </c>
      <c r="Q16" s="10">
        <v>6</v>
      </c>
      <c r="R16" s="84">
        <v>6</v>
      </c>
      <c r="S16" s="43">
        <v>6</v>
      </c>
      <c r="T16" s="31">
        <v>6</v>
      </c>
      <c r="U16" s="31">
        <v>6</v>
      </c>
      <c r="V16" s="32">
        <v>6</v>
      </c>
      <c r="W16" s="33">
        <v>6</v>
      </c>
      <c r="X16" s="10">
        <v>6</v>
      </c>
      <c r="Y16" s="10">
        <v>6</v>
      </c>
      <c r="Z16" s="29">
        <v>6</v>
      </c>
      <c r="AA16" s="30">
        <v>6</v>
      </c>
      <c r="AB16" s="31">
        <v>6</v>
      </c>
      <c r="AC16" s="31">
        <v>8</v>
      </c>
      <c r="AD16" s="34"/>
      <c r="AE16" s="114">
        <f t="shared" si="0"/>
        <v>92</v>
      </c>
    </row>
    <row r="17" spans="1:32" ht="21" customHeight="1">
      <c r="A17" s="5">
        <v>13</v>
      </c>
      <c r="B17" s="46" t="s">
        <v>3</v>
      </c>
      <c r="C17" s="108">
        <f>Outflow!G16</f>
        <v>135</v>
      </c>
      <c r="D17" s="147">
        <f>(Outflow!G16*Outflow!E$27^(Outflow!H16/12)-Outflow!G16)+(Outflow!D16*Outflow!E$24/10000000*Outflow!E$25)+(Outflow!G16*Outflow!E$26)</f>
        <v>250.23199628232521</v>
      </c>
      <c r="E17" s="30"/>
      <c r="F17" s="32"/>
      <c r="G17" s="33"/>
      <c r="H17" s="10"/>
      <c r="I17" s="10"/>
      <c r="J17" s="29"/>
      <c r="K17" s="30"/>
      <c r="L17" s="31"/>
      <c r="M17" s="31"/>
      <c r="N17" s="32"/>
      <c r="O17" s="33">
        <v>20</v>
      </c>
      <c r="P17" s="10">
        <v>20</v>
      </c>
      <c r="Q17" s="10">
        <v>20</v>
      </c>
      <c r="R17" s="84">
        <v>25</v>
      </c>
      <c r="S17" s="43">
        <v>25</v>
      </c>
      <c r="T17" s="31">
        <v>25</v>
      </c>
      <c r="U17" s="31">
        <v>25</v>
      </c>
      <c r="V17" s="32">
        <v>25</v>
      </c>
      <c r="W17" s="33">
        <v>25</v>
      </c>
      <c r="X17" s="10">
        <v>25</v>
      </c>
      <c r="Y17" s="10">
        <v>15</v>
      </c>
      <c r="Z17" s="29"/>
      <c r="AA17" s="30"/>
      <c r="AB17" s="31"/>
      <c r="AC17" s="31"/>
      <c r="AD17" s="34"/>
      <c r="AE17" s="114">
        <f t="shared" si="0"/>
        <v>250</v>
      </c>
    </row>
    <row r="18" spans="1:32" ht="21" customHeight="1">
      <c r="A18" s="7">
        <v>14</v>
      </c>
      <c r="B18" s="47" t="s">
        <v>56</v>
      </c>
      <c r="C18" s="108">
        <f>Outflow!G17</f>
        <v>384</v>
      </c>
      <c r="D18" s="147">
        <f>(Outflow!G17*Outflow!E$27^(Outflow!H17/12)-Outflow!G17)+(Outflow!D17*Outflow!E$24/10000000*Outflow!E$25)+(Outflow!G17*Outflow!E$26)</f>
        <v>1002.5932600075156</v>
      </c>
      <c r="E18" s="35"/>
      <c r="F18" s="36"/>
      <c r="G18" s="37"/>
      <c r="H18" s="11"/>
      <c r="I18" s="11"/>
      <c r="J18" s="38"/>
      <c r="K18" s="35"/>
      <c r="L18" s="39"/>
      <c r="M18" s="39"/>
      <c r="N18" s="36">
        <v>50</v>
      </c>
      <c r="O18" s="37">
        <v>50</v>
      </c>
      <c r="P18" s="11">
        <v>50</v>
      </c>
      <c r="Q18" s="11">
        <v>50</v>
      </c>
      <c r="R18" s="105">
        <v>50</v>
      </c>
      <c r="S18" s="44">
        <v>50</v>
      </c>
      <c r="T18" s="39">
        <v>60</v>
      </c>
      <c r="U18" s="39">
        <v>60</v>
      </c>
      <c r="V18" s="36">
        <v>60</v>
      </c>
      <c r="W18" s="37">
        <v>60</v>
      </c>
      <c r="X18" s="11">
        <v>60</v>
      </c>
      <c r="Y18" s="11">
        <v>70</v>
      </c>
      <c r="Z18" s="38">
        <v>70</v>
      </c>
      <c r="AA18" s="35">
        <v>70</v>
      </c>
      <c r="AB18" s="39">
        <v>70</v>
      </c>
      <c r="AC18" s="39">
        <v>70</v>
      </c>
      <c r="AD18" s="40">
        <v>53</v>
      </c>
      <c r="AE18" s="114">
        <f t="shared" si="0"/>
        <v>1003</v>
      </c>
    </row>
    <row r="19" spans="1:32" ht="21" customHeight="1" thickBot="1">
      <c r="A19" s="45">
        <v>15</v>
      </c>
      <c r="B19" s="47" t="s">
        <v>51</v>
      </c>
      <c r="C19" s="108">
        <f>Outflow!G18</f>
        <v>405</v>
      </c>
      <c r="D19" s="147">
        <f>(Outflow!G18*Outflow!E$27^(Outflow!H18/12)-Outflow!G18)+(Outflow!D18*Outflow!E$24/10000000*Outflow!E$25)+(Outflow!G18*Outflow!E$26)</f>
        <v>875.13154650253637</v>
      </c>
      <c r="E19" s="61"/>
      <c r="F19" s="62"/>
      <c r="G19" s="63"/>
      <c r="H19" s="9"/>
      <c r="I19" s="9"/>
      <c r="J19" s="60"/>
      <c r="K19" s="61"/>
      <c r="L19" s="57"/>
      <c r="M19" s="57"/>
      <c r="N19" s="62">
        <v>45</v>
      </c>
      <c r="O19" s="63">
        <v>45</v>
      </c>
      <c r="P19" s="9">
        <v>45</v>
      </c>
      <c r="Q19" s="9">
        <v>48</v>
      </c>
      <c r="R19" s="85">
        <v>48</v>
      </c>
      <c r="S19" s="44">
        <v>48</v>
      </c>
      <c r="T19" s="39">
        <v>48</v>
      </c>
      <c r="U19" s="39">
        <v>48</v>
      </c>
      <c r="V19" s="36">
        <v>50</v>
      </c>
      <c r="W19" s="37">
        <v>50</v>
      </c>
      <c r="X19" s="11">
        <v>50</v>
      </c>
      <c r="Y19" s="11">
        <v>50</v>
      </c>
      <c r="Z19" s="38">
        <v>60</v>
      </c>
      <c r="AA19" s="35">
        <v>60</v>
      </c>
      <c r="AB19" s="39">
        <v>60</v>
      </c>
      <c r="AC19" s="39">
        <v>60</v>
      </c>
      <c r="AD19" s="40">
        <v>60</v>
      </c>
      <c r="AE19" s="114">
        <f t="shared" si="0"/>
        <v>875</v>
      </c>
    </row>
    <row r="20" spans="1:32" ht="24" customHeight="1">
      <c r="A20" s="321" t="s">
        <v>40</v>
      </c>
      <c r="B20" s="322"/>
      <c r="C20" s="277">
        <f>SUM(C7:C19)</f>
        <v>1894.6815665199999</v>
      </c>
      <c r="D20" s="275">
        <f>SUM(D8:D19)</f>
        <v>2972.7463691179773</v>
      </c>
      <c r="E20" s="66">
        <f t="shared" ref="E20:AD20" si="3">SUM(E4:E19)</f>
        <v>54</v>
      </c>
      <c r="F20" s="41">
        <f t="shared" si="3"/>
        <v>157.21013545024425</v>
      </c>
      <c r="G20" s="87">
        <f t="shared" si="3"/>
        <v>157.21013545024425</v>
      </c>
      <c r="H20" s="88">
        <f t="shared" si="3"/>
        <v>131</v>
      </c>
      <c r="I20" s="88">
        <f t="shared" si="3"/>
        <v>69</v>
      </c>
      <c r="J20" s="89">
        <f t="shared" si="3"/>
        <v>94</v>
      </c>
      <c r="K20" s="66">
        <f t="shared" si="3"/>
        <v>87</v>
      </c>
      <c r="L20" s="68">
        <f t="shared" si="3"/>
        <v>84</v>
      </c>
      <c r="M20" s="68">
        <f t="shared" si="3"/>
        <v>94</v>
      </c>
      <c r="N20" s="67">
        <f t="shared" si="3"/>
        <v>197</v>
      </c>
      <c r="O20" s="87">
        <f t="shared" si="3"/>
        <v>184</v>
      </c>
      <c r="P20" s="88">
        <f t="shared" si="3"/>
        <v>179</v>
      </c>
      <c r="Q20" s="88">
        <f t="shared" si="3"/>
        <v>178</v>
      </c>
      <c r="R20" s="89">
        <f t="shared" si="3"/>
        <v>172</v>
      </c>
      <c r="S20" s="66">
        <f t="shared" si="3"/>
        <v>130</v>
      </c>
      <c r="T20" s="68">
        <f t="shared" si="3"/>
        <v>140</v>
      </c>
      <c r="U20" s="68">
        <f t="shared" si="3"/>
        <v>140</v>
      </c>
      <c r="V20" s="67">
        <f t="shared" si="3"/>
        <v>142</v>
      </c>
      <c r="W20" s="87">
        <f t="shared" si="3"/>
        <v>142</v>
      </c>
      <c r="X20" s="88">
        <f t="shared" si="3"/>
        <v>141</v>
      </c>
      <c r="Y20" s="88">
        <f t="shared" si="3"/>
        <v>141</v>
      </c>
      <c r="Z20" s="89">
        <f t="shared" si="3"/>
        <v>136</v>
      </c>
      <c r="AA20" s="66">
        <f t="shared" si="3"/>
        <v>136</v>
      </c>
      <c r="AB20" s="68">
        <f t="shared" si="3"/>
        <v>136</v>
      </c>
      <c r="AC20" s="68">
        <f t="shared" si="3"/>
        <v>138</v>
      </c>
      <c r="AD20" s="67">
        <f t="shared" si="3"/>
        <v>113</v>
      </c>
      <c r="AE20" s="115">
        <f>SUM(E20:AD20)</f>
        <v>3472.4202709004885</v>
      </c>
      <c r="AF20" s="115">
        <f>SUM(AE4:AE19)</f>
        <v>3472.4202709004885</v>
      </c>
    </row>
    <row r="21" spans="1:32" ht="24" customHeight="1" thickBot="1">
      <c r="A21" s="323"/>
      <c r="B21" s="324"/>
      <c r="C21" s="278"/>
      <c r="D21" s="276"/>
      <c r="E21" s="319">
        <f>SUM(E20:F20)</f>
        <v>211.21013545024425</v>
      </c>
      <c r="F21" s="320"/>
      <c r="G21" s="305">
        <f>SUM(G20:J20)</f>
        <v>451.21013545024425</v>
      </c>
      <c r="H21" s="306"/>
      <c r="I21" s="306"/>
      <c r="J21" s="307"/>
      <c r="K21" s="308">
        <f>SUM(K20:N20)</f>
        <v>462</v>
      </c>
      <c r="L21" s="309"/>
      <c r="M21" s="309"/>
      <c r="N21" s="310"/>
      <c r="O21" s="325">
        <f>SUM(O20:R20)</f>
        <v>713</v>
      </c>
      <c r="P21" s="326"/>
      <c r="Q21" s="326"/>
      <c r="R21" s="327"/>
      <c r="S21" s="308">
        <f>SUM(S20:V20)</f>
        <v>552</v>
      </c>
      <c r="T21" s="309"/>
      <c r="U21" s="309"/>
      <c r="V21" s="310"/>
      <c r="W21" s="305">
        <f>SUM(W20:Z20)</f>
        <v>560</v>
      </c>
      <c r="X21" s="306"/>
      <c r="Y21" s="306"/>
      <c r="Z21" s="307"/>
      <c r="AA21" s="308">
        <f>SUM(AA20:AD20)</f>
        <v>523</v>
      </c>
      <c r="AB21" s="309"/>
      <c r="AC21" s="309"/>
      <c r="AD21" s="310"/>
      <c r="AE21" s="115"/>
      <c r="AF21" s="115">
        <f>D6+D20</f>
        <v>3472.7463691179773</v>
      </c>
    </row>
    <row r="22" spans="1:32" ht="24" customHeight="1" thickBot="1">
      <c r="A22" s="120"/>
      <c r="B22" s="120"/>
      <c r="C22" s="121"/>
      <c r="D22" s="115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3"/>
      <c r="AB22" s="122"/>
      <c r="AC22" s="122"/>
      <c r="AD22" s="122"/>
      <c r="AE22" s="124"/>
      <c r="AF22" s="115">
        <f>SUM(E4:AD19)</f>
        <v>3472.4202709004885</v>
      </c>
    </row>
    <row r="23" spans="1:32" ht="24" customHeight="1">
      <c r="A23" s="338" t="s">
        <v>41</v>
      </c>
      <c r="B23" s="339"/>
      <c r="C23" s="339"/>
      <c r="D23" s="340"/>
      <c r="E23" s="70">
        <f>E20-Outflow!J19</f>
        <v>1</v>
      </c>
      <c r="F23" s="71">
        <f>F20-Outflow!K19</f>
        <v>70.210135450244252</v>
      </c>
      <c r="G23" s="81">
        <f>G20-Outflow!L19</f>
        <v>62.960135450244252</v>
      </c>
      <c r="H23" s="82">
        <f>H20-Outflow!M19</f>
        <v>37.75</v>
      </c>
      <c r="I23" s="82">
        <f>I20-Outflow!N19</f>
        <v>-47.25</v>
      </c>
      <c r="J23" s="83">
        <f>J20-Outflow!O19</f>
        <v>-30.5</v>
      </c>
      <c r="K23" s="72">
        <f>K20-Outflow!P19</f>
        <v>-12.5</v>
      </c>
      <c r="L23" s="73">
        <f>L20-Outflow!Q19</f>
        <v>33.5</v>
      </c>
      <c r="M23" s="73">
        <f>M20-Outflow!R19</f>
        <v>40.5</v>
      </c>
      <c r="N23" s="74">
        <f>N20-Outflow!S19</f>
        <v>98</v>
      </c>
      <c r="O23" s="81">
        <f>O20-Outflow!T19</f>
        <v>92</v>
      </c>
      <c r="P23" s="82">
        <f>P20-Outflow!U19</f>
        <v>82</v>
      </c>
      <c r="Q23" s="82">
        <f>Q20-Outflow!V19</f>
        <v>80</v>
      </c>
      <c r="R23" s="83">
        <f>R20-Outflow!W19</f>
        <v>89</v>
      </c>
      <c r="S23" s="72">
        <f>S20-Outflow!X19</f>
        <v>64</v>
      </c>
      <c r="T23" s="73">
        <f>T20-Outflow!Y19</f>
        <v>74</v>
      </c>
      <c r="U23" s="73">
        <f>U20-Outflow!Z19</f>
        <v>72</v>
      </c>
      <c r="V23" s="74">
        <f>V20-Outflow!AA19</f>
        <v>74</v>
      </c>
      <c r="W23" s="81">
        <f>W20-Outflow!AB19</f>
        <v>77</v>
      </c>
      <c r="X23" s="82">
        <f>X20-Outflow!AC19</f>
        <v>76</v>
      </c>
      <c r="Y23" s="82">
        <f>Y20-Outflow!AD19</f>
        <v>91</v>
      </c>
      <c r="Z23" s="83">
        <f>Z20-Outflow!AE19</f>
        <v>86</v>
      </c>
      <c r="AA23" s="72">
        <f>AA20-Outflow!AF19</f>
        <v>84</v>
      </c>
      <c r="AB23" s="73">
        <f>AB20-Outflow!AG19</f>
        <v>81</v>
      </c>
      <c r="AC23" s="73">
        <f>AC20-Outflow!AH19</f>
        <v>88</v>
      </c>
      <c r="AD23" s="74">
        <f>AD20-Outflow!AI19</f>
        <v>113</v>
      </c>
      <c r="AE23" s="287">
        <f>SUM(E23:AD23)</f>
        <v>1576.6702709004885</v>
      </c>
    </row>
    <row r="24" spans="1:32" ht="24" customHeight="1" thickBot="1">
      <c r="A24" s="341"/>
      <c r="B24" s="342"/>
      <c r="C24" s="342"/>
      <c r="D24" s="343"/>
      <c r="E24" s="288">
        <f>E23+F23</f>
        <v>71.210135450244252</v>
      </c>
      <c r="F24" s="289"/>
      <c r="G24" s="290">
        <f>SUM(G23:J23)</f>
        <v>22.960135450244252</v>
      </c>
      <c r="H24" s="328"/>
      <c r="I24" s="328"/>
      <c r="J24" s="329"/>
      <c r="K24" s="296">
        <f>SUM(K23:N23)</f>
        <v>159.5</v>
      </c>
      <c r="L24" s="297"/>
      <c r="M24" s="297"/>
      <c r="N24" s="298"/>
      <c r="O24" s="290">
        <f>SUM(O23:R23)</f>
        <v>343</v>
      </c>
      <c r="P24" s="328"/>
      <c r="Q24" s="328"/>
      <c r="R24" s="329"/>
      <c r="S24" s="293">
        <f>SUM(S23:V23)</f>
        <v>284</v>
      </c>
      <c r="T24" s="294"/>
      <c r="U24" s="294"/>
      <c r="V24" s="295"/>
      <c r="W24" s="290">
        <f>SUM(W23:Z23)</f>
        <v>330</v>
      </c>
      <c r="X24" s="328"/>
      <c r="Y24" s="328"/>
      <c r="Z24" s="329"/>
      <c r="AA24" s="293">
        <f>SUM(AA23:AD23)</f>
        <v>366</v>
      </c>
      <c r="AB24" s="294"/>
      <c r="AC24" s="294"/>
      <c r="AD24" s="295"/>
      <c r="AE24" s="287"/>
    </row>
    <row r="25" spans="1:32" ht="24" customHeight="1" thickBot="1">
      <c r="A25" s="79"/>
      <c r="B25" s="80"/>
      <c r="C25" s="80"/>
      <c r="D25" s="80"/>
      <c r="E25" s="69"/>
      <c r="F25" s="1"/>
      <c r="G25" s="69"/>
      <c r="H25" s="1"/>
      <c r="I25" s="1"/>
      <c r="J25" s="1"/>
      <c r="K25" s="69"/>
      <c r="L25" s="69"/>
      <c r="M25" s="69"/>
      <c r="N25" s="69"/>
      <c r="O25" s="69"/>
      <c r="P25" s="1"/>
      <c r="Q25" s="1"/>
      <c r="R25" s="1"/>
      <c r="S25" s="69"/>
      <c r="T25" s="1"/>
      <c r="U25" s="1"/>
      <c r="V25" s="1"/>
      <c r="W25" s="69"/>
      <c r="X25" s="1"/>
      <c r="Y25" s="1"/>
      <c r="Z25" s="1"/>
      <c r="AA25" s="69"/>
      <c r="AB25" s="1"/>
      <c r="AC25" s="1"/>
      <c r="AD25" s="1"/>
    </row>
    <row r="26" spans="1:32" ht="24" customHeight="1">
      <c r="A26" s="344" t="s">
        <v>45</v>
      </c>
      <c r="B26" s="345"/>
      <c r="C26" s="345"/>
      <c r="D26" s="346"/>
      <c r="E26" s="70">
        <v>0</v>
      </c>
      <c r="F26" s="71">
        <v>3.75</v>
      </c>
      <c r="G26" s="90">
        <v>7.5</v>
      </c>
      <c r="H26" s="91">
        <v>11.25</v>
      </c>
      <c r="I26" s="91">
        <v>11.25</v>
      </c>
      <c r="J26" s="92">
        <v>11.25</v>
      </c>
      <c r="K26" s="72">
        <v>11.25</v>
      </c>
      <c r="L26" s="73">
        <v>11.25</v>
      </c>
      <c r="M26" s="73">
        <v>11.25</v>
      </c>
      <c r="N26" s="74">
        <v>24.08</v>
      </c>
      <c r="O26" s="90">
        <v>24</v>
      </c>
      <c r="P26" s="91">
        <v>24</v>
      </c>
      <c r="Q26" s="91">
        <v>24</v>
      </c>
      <c r="R26" s="92">
        <v>24</v>
      </c>
      <c r="S26" s="72">
        <v>24</v>
      </c>
      <c r="T26" s="73">
        <v>24</v>
      </c>
      <c r="U26" s="73">
        <v>24</v>
      </c>
      <c r="V26" s="74">
        <v>24</v>
      </c>
      <c r="W26" s="90">
        <v>24</v>
      </c>
      <c r="X26" s="91">
        <v>24</v>
      </c>
      <c r="Y26" s="91">
        <v>24</v>
      </c>
      <c r="Z26" s="92">
        <v>24</v>
      </c>
      <c r="AA26" s="72">
        <v>24</v>
      </c>
      <c r="AB26" s="73">
        <v>24</v>
      </c>
      <c r="AC26" s="73">
        <v>24</v>
      </c>
      <c r="AD26" s="74">
        <v>25</v>
      </c>
      <c r="AE26" s="287">
        <f>SUM(E26:AD26)</f>
        <v>487.83</v>
      </c>
    </row>
    <row r="27" spans="1:32" ht="24" customHeight="1" thickBot="1">
      <c r="A27" s="347"/>
      <c r="B27" s="348"/>
      <c r="C27" s="348"/>
      <c r="D27" s="349"/>
      <c r="E27" s="288">
        <f>E26+F26</f>
        <v>3.75</v>
      </c>
      <c r="F27" s="289"/>
      <c r="G27" s="290">
        <f>SUM(G26:J26)</f>
        <v>41.25</v>
      </c>
      <c r="H27" s="291"/>
      <c r="I27" s="291"/>
      <c r="J27" s="292"/>
      <c r="K27" s="296">
        <f>SUM(K26:N26)</f>
        <v>57.83</v>
      </c>
      <c r="L27" s="297"/>
      <c r="M27" s="297"/>
      <c r="N27" s="298"/>
      <c r="O27" s="290">
        <f>SUM(O26:R26)</f>
        <v>96</v>
      </c>
      <c r="P27" s="291"/>
      <c r="Q27" s="291"/>
      <c r="R27" s="292"/>
      <c r="S27" s="296">
        <f>SUM(S26:V26)</f>
        <v>96</v>
      </c>
      <c r="T27" s="297"/>
      <c r="U27" s="297"/>
      <c r="V27" s="298"/>
      <c r="W27" s="290">
        <f>SUM(W26:Z26)</f>
        <v>96</v>
      </c>
      <c r="X27" s="291"/>
      <c r="Y27" s="291"/>
      <c r="Z27" s="292"/>
      <c r="AA27" s="296">
        <f>SUM(AA26:AD26)</f>
        <v>97</v>
      </c>
      <c r="AB27" s="297"/>
      <c r="AC27" s="297"/>
      <c r="AD27" s="298"/>
      <c r="AE27" s="287"/>
    </row>
    <row r="28" spans="1:32" ht="24" customHeight="1" thickBot="1">
      <c r="A28" s="79"/>
      <c r="B28" s="80"/>
      <c r="C28" s="80"/>
      <c r="D28" s="80"/>
    </row>
    <row r="29" spans="1:32" ht="24" customHeight="1">
      <c r="A29" s="338" t="s">
        <v>42</v>
      </c>
      <c r="B29" s="339"/>
      <c r="C29" s="339"/>
      <c r="D29" s="339"/>
      <c r="E29" s="70">
        <f t="shared" ref="E29:AD29" si="4">E23-E26</f>
        <v>1</v>
      </c>
      <c r="F29" s="71">
        <f t="shared" si="4"/>
        <v>66.460135450244252</v>
      </c>
      <c r="G29" s="81">
        <f t="shared" si="4"/>
        <v>55.460135450244252</v>
      </c>
      <c r="H29" s="82">
        <f t="shared" si="4"/>
        <v>26.5</v>
      </c>
      <c r="I29" s="82">
        <f t="shared" si="4"/>
        <v>-58.5</v>
      </c>
      <c r="J29" s="83">
        <f t="shared" si="4"/>
        <v>-41.75</v>
      </c>
      <c r="K29" s="72">
        <f t="shared" si="4"/>
        <v>-23.75</v>
      </c>
      <c r="L29" s="73">
        <f t="shared" si="4"/>
        <v>22.25</v>
      </c>
      <c r="M29" s="73">
        <f t="shared" si="4"/>
        <v>29.25</v>
      </c>
      <c r="N29" s="74">
        <f t="shared" si="4"/>
        <v>73.92</v>
      </c>
      <c r="O29" s="81">
        <f t="shared" si="4"/>
        <v>68</v>
      </c>
      <c r="P29" s="82">
        <f t="shared" si="4"/>
        <v>58</v>
      </c>
      <c r="Q29" s="82">
        <f t="shared" si="4"/>
        <v>56</v>
      </c>
      <c r="R29" s="83">
        <f t="shared" si="4"/>
        <v>65</v>
      </c>
      <c r="S29" s="72">
        <f t="shared" si="4"/>
        <v>40</v>
      </c>
      <c r="T29" s="73">
        <f t="shared" si="4"/>
        <v>50</v>
      </c>
      <c r="U29" s="73">
        <f t="shared" si="4"/>
        <v>48</v>
      </c>
      <c r="V29" s="74">
        <f t="shared" si="4"/>
        <v>50</v>
      </c>
      <c r="W29" s="81">
        <f t="shared" si="4"/>
        <v>53</v>
      </c>
      <c r="X29" s="82">
        <f t="shared" si="4"/>
        <v>52</v>
      </c>
      <c r="Y29" s="82">
        <f t="shared" si="4"/>
        <v>67</v>
      </c>
      <c r="Z29" s="83">
        <f t="shared" si="4"/>
        <v>62</v>
      </c>
      <c r="AA29" s="72">
        <f t="shared" si="4"/>
        <v>60</v>
      </c>
      <c r="AB29" s="73">
        <f t="shared" si="4"/>
        <v>57</v>
      </c>
      <c r="AC29" s="73">
        <f t="shared" si="4"/>
        <v>64</v>
      </c>
      <c r="AD29" s="74">
        <f t="shared" si="4"/>
        <v>88</v>
      </c>
      <c r="AE29" s="285">
        <f>SUM(E29:AD29)</f>
        <v>1088.8402709004886</v>
      </c>
    </row>
    <row r="30" spans="1:32" ht="24" customHeight="1" thickBot="1">
      <c r="A30" s="341"/>
      <c r="B30" s="342"/>
      <c r="C30" s="342"/>
      <c r="D30" s="342"/>
      <c r="E30" s="288">
        <f>E29+F29</f>
        <v>67.460135450244252</v>
      </c>
      <c r="F30" s="289"/>
      <c r="G30" s="290">
        <f>SUM(G29:J29)</f>
        <v>-18.289864549755748</v>
      </c>
      <c r="H30" s="291"/>
      <c r="I30" s="291"/>
      <c r="J30" s="292"/>
      <c r="K30" s="293">
        <f t="shared" ref="K30" si="5">SUM(K29:N29)</f>
        <v>101.67</v>
      </c>
      <c r="L30" s="294"/>
      <c r="M30" s="294"/>
      <c r="N30" s="295"/>
      <c r="O30" s="290">
        <f t="shared" ref="O30" si="6">SUM(O29:R29)</f>
        <v>247</v>
      </c>
      <c r="P30" s="291"/>
      <c r="Q30" s="291"/>
      <c r="R30" s="292"/>
      <c r="S30" s="296">
        <f>SUM(S29:V29)</f>
        <v>188</v>
      </c>
      <c r="T30" s="297"/>
      <c r="U30" s="297"/>
      <c r="V30" s="298"/>
      <c r="W30" s="290">
        <f>SUM(W29:Z29)</f>
        <v>234</v>
      </c>
      <c r="X30" s="291"/>
      <c r="Y30" s="291"/>
      <c r="Z30" s="292"/>
      <c r="AA30" s="296">
        <f t="shared" ref="AA30" si="7">SUM(AA29:AD29)</f>
        <v>269</v>
      </c>
      <c r="AB30" s="297"/>
      <c r="AC30" s="297"/>
      <c r="AD30" s="298"/>
      <c r="AE30" s="286"/>
    </row>
    <row r="31" spans="1:32" ht="17" thickBot="1">
      <c r="A31" s="79"/>
      <c r="B31" s="80"/>
      <c r="C31" s="80"/>
      <c r="D31" s="80"/>
    </row>
    <row r="32" spans="1:32" ht="25" customHeight="1">
      <c r="A32" s="395" t="s">
        <v>44</v>
      </c>
      <c r="B32" s="396"/>
      <c r="C32" s="396"/>
      <c r="D32" s="396"/>
      <c r="E32" s="75">
        <f>E29</f>
        <v>1</v>
      </c>
      <c r="F32" s="76">
        <f>E29+F29</f>
        <v>67.460135450244252</v>
      </c>
      <c r="G32" s="93">
        <f>F32+G29</f>
        <v>122.9202709004885</v>
      </c>
      <c r="H32" s="94">
        <f t="shared" ref="H32:AD32" si="8">G32+H29</f>
        <v>149.4202709004885</v>
      </c>
      <c r="I32" s="94">
        <f t="shared" si="8"/>
        <v>90.920270900488504</v>
      </c>
      <c r="J32" s="95">
        <f t="shared" si="8"/>
        <v>49.170270900488504</v>
      </c>
      <c r="K32" s="75">
        <f t="shared" si="8"/>
        <v>25.420270900488504</v>
      </c>
      <c r="L32" s="77">
        <f t="shared" si="8"/>
        <v>47.670270900488504</v>
      </c>
      <c r="M32" s="77">
        <f t="shared" si="8"/>
        <v>76.920270900488504</v>
      </c>
      <c r="N32" s="76">
        <f t="shared" si="8"/>
        <v>150.84027090048852</v>
      </c>
      <c r="O32" s="93">
        <f t="shared" si="8"/>
        <v>218.84027090048852</v>
      </c>
      <c r="P32" s="94">
        <f t="shared" si="8"/>
        <v>276.84027090048852</v>
      </c>
      <c r="Q32" s="94">
        <f t="shared" si="8"/>
        <v>332.84027090048852</v>
      </c>
      <c r="R32" s="95">
        <f t="shared" si="8"/>
        <v>397.84027090048852</v>
      </c>
      <c r="S32" s="75">
        <f t="shared" si="8"/>
        <v>437.84027090048852</v>
      </c>
      <c r="T32" s="77">
        <f t="shared" si="8"/>
        <v>487.84027090048852</v>
      </c>
      <c r="U32" s="77">
        <f t="shared" si="8"/>
        <v>535.84027090048858</v>
      </c>
      <c r="V32" s="76">
        <f t="shared" si="8"/>
        <v>585.84027090048858</v>
      </c>
      <c r="W32" s="96">
        <f t="shared" si="8"/>
        <v>638.84027090048858</v>
      </c>
      <c r="X32" s="94">
        <f t="shared" si="8"/>
        <v>690.84027090048858</v>
      </c>
      <c r="Y32" s="94">
        <f t="shared" si="8"/>
        <v>757.84027090048858</v>
      </c>
      <c r="Z32" s="97">
        <f t="shared" si="8"/>
        <v>819.84027090048858</v>
      </c>
      <c r="AA32" s="78">
        <f t="shared" si="8"/>
        <v>879.84027090048858</v>
      </c>
      <c r="AB32" s="77">
        <f t="shared" si="8"/>
        <v>936.84027090048858</v>
      </c>
      <c r="AC32" s="77">
        <f t="shared" si="8"/>
        <v>1000.8402709004886</v>
      </c>
      <c r="AD32" s="76">
        <f t="shared" si="8"/>
        <v>1088.8402709004886</v>
      </c>
    </row>
    <row r="33" spans="1:30" ht="29" customHeight="1" thickBot="1">
      <c r="A33" s="397"/>
      <c r="B33" s="398"/>
      <c r="C33" s="398"/>
      <c r="D33" s="398"/>
      <c r="E33" s="350">
        <f>F32</f>
        <v>67.460135450244252</v>
      </c>
      <c r="F33" s="351"/>
      <c r="G33" s="352">
        <f>J32</f>
        <v>49.170270900488504</v>
      </c>
      <c r="H33" s="353"/>
      <c r="I33" s="353"/>
      <c r="J33" s="354"/>
      <c r="K33" s="330">
        <f>N32</f>
        <v>150.84027090048852</v>
      </c>
      <c r="L33" s="331"/>
      <c r="M33" s="331"/>
      <c r="N33" s="332"/>
      <c r="O33" s="333">
        <f>R32</f>
        <v>397.84027090048852</v>
      </c>
      <c r="P33" s="334"/>
      <c r="Q33" s="334"/>
      <c r="R33" s="335"/>
      <c r="S33" s="330">
        <f>V32</f>
        <v>585.84027090048858</v>
      </c>
      <c r="T33" s="331"/>
      <c r="U33" s="331"/>
      <c r="V33" s="332"/>
      <c r="W33" s="333">
        <f>Z32</f>
        <v>819.84027090048858</v>
      </c>
      <c r="X33" s="334"/>
      <c r="Y33" s="334"/>
      <c r="Z33" s="335"/>
      <c r="AA33" s="336">
        <f>AD32</f>
        <v>1088.8402709004886</v>
      </c>
      <c r="AB33" s="336"/>
      <c r="AC33" s="336"/>
      <c r="AD33" s="337"/>
    </row>
  </sheetData>
  <mergeCells count="53">
    <mergeCell ref="S33:V33"/>
    <mergeCell ref="W33:Z33"/>
    <mergeCell ref="AA33:AD33"/>
    <mergeCell ref="A23:D24"/>
    <mergeCell ref="A26:D27"/>
    <mergeCell ref="A29:D30"/>
    <mergeCell ref="A32:D33"/>
    <mergeCell ref="E33:F33"/>
    <mergeCell ref="G33:J33"/>
    <mergeCell ref="K33:N33"/>
    <mergeCell ref="O33:R33"/>
    <mergeCell ref="S21:V21"/>
    <mergeCell ref="W21:Z21"/>
    <mergeCell ref="AA24:AD24"/>
    <mergeCell ref="E27:F27"/>
    <mergeCell ref="G27:J27"/>
    <mergeCell ref="K27:N27"/>
    <mergeCell ref="O27:R27"/>
    <mergeCell ref="S27:V27"/>
    <mergeCell ref="W27:Z27"/>
    <mergeCell ref="AA27:AD27"/>
    <mergeCell ref="E24:F24"/>
    <mergeCell ref="G24:J24"/>
    <mergeCell ref="K24:N24"/>
    <mergeCell ref="O24:R24"/>
    <mergeCell ref="S24:V24"/>
    <mergeCell ref="W24:Z24"/>
    <mergeCell ref="A1:AD1"/>
    <mergeCell ref="E3:F3"/>
    <mergeCell ref="AA3:AD3"/>
    <mergeCell ref="G21:J21"/>
    <mergeCell ref="K21:N21"/>
    <mergeCell ref="A2:A3"/>
    <mergeCell ref="B2:B3"/>
    <mergeCell ref="G3:J3"/>
    <mergeCell ref="K3:N3"/>
    <mergeCell ref="O3:R3"/>
    <mergeCell ref="S3:V3"/>
    <mergeCell ref="W3:Z3"/>
    <mergeCell ref="E21:F21"/>
    <mergeCell ref="AA21:AD21"/>
    <mergeCell ref="A20:B21"/>
    <mergeCell ref="O21:R21"/>
    <mergeCell ref="AE29:AE30"/>
    <mergeCell ref="AE26:AE27"/>
    <mergeCell ref="AE23:AE24"/>
    <mergeCell ref="E30:F30"/>
    <mergeCell ref="G30:J30"/>
    <mergeCell ref="K30:N30"/>
    <mergeCell ref="O30:R30"/>
    <mergeCell ref="S30:V30"/>
    <mergeCell ref="W30:Z30"/>
    <mergeCell ref="AA30:AD30"/>
  </mergeCells>
  <pageMargins left="0.7" right="0.7" top="0.75" bottom="0.75" header="0.3" footer="0.3"/>
  <ignoredErrors>
    <ignoredError sqref="O27 S27 W27 AA27 AE7:AE8 AE4:AE5 G27 K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Outflow</vt:lpstr>
      <vt:lpstr>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ICLOUDHOMES</dc:creator>
  <cp:lastModifiedBy>ICLOUDHOMES</cp:lastModifiedBy>
  <dcterms:created xsi:type="dcterms:W3CDTF">2026-08-20T12:32:17Z</dcterms:created>
  <dcterms:modified xsi:type="dcterms:W3CDTF">2026-09-05T06:16:07Z</dcterms:modified>
</cp:coreProperties>
</file>